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e7aed418754c4647" /></Relationships>
</file>

<file path=xl/workbook.xml><?xml version="1.0" encoding="utf-8"?>
<x:workbook xmlns:x="http://schemas.openxmlformats.org/spreadsheetml/2006/main">
  <x:sheets>
    <x:sheet xmlns:r="http://schemas.openxmlformats.org/officeDocument/2006/relationships" name="Operating全部季度" sheetId="1" r:id="R4f290d34ce27498c"/>
    <x:sheet xmlns:r="http://schemas.openxmlformats.org/officeDocument/2006/relationships" name="取值明细" sheetId="2" r:id="R6252868f0f924391"/>
    <x:sheet xmlns:r="http://schemas.openxmlformats.org/officeDocument/2006/relationships" name="图表核对" sheetId="3" r:id="R1ce0dd54a0b941a1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5">
    <x:numFmt numFmtId="200" formatCode="#,##0.00;(#,##0.00);&quot;—&quot;"/>
    <x:numFmt numFmtId="201" formatCode="0.000"/>
    <x:numFmt numFmtId="202" formatCode="0.0000"/>
    <x:numFmt numFmtId="203" formatCode="0.00%"/>
    <x:numFmt numFmtId="204" formatCode="0.0000%"/>
  </x:numFmts>
  <x:fonts count="5">
    <x:font>
      <x:sz val="11"/>
      <x:name val="Carlito"/>
    </x:font>
    <x:font>
      <x:sz val="11"/>
      <x:color rgb="FF253B50"/>
      <x:name val="Noto Sans CJK SC"/>
    </x:font>
    <x:font>
      <x:b/>
      <x:sz val="17"/>
      <x:color rgb="FF173D61"/>
      <x:name val="Noto Sans CJK SC"/>
    </x:font>
    <x:font>
      <x:b/>
      <x:sz val="11"/>
      <x:color rgb="FFFFFFFF"/>
      <x:name val="Noto Sans CJK SC"/>
    </x:font>
    <x:font>
      <x:sz val="11"/>
      <x:color rgb="FF255CA6"/>
      <x:name val="Noto Sans CJK SC"/>
    </x:font>
  </x:fonts>
  <x:fills count="6">
    <x:fill>
      <x:patternFill patternType="none"/>
    </x:fill>
    <x:fill>
      <x:patternFill patternType="gray125"/>
    </x:fill>
    <x:fill>
      <x:patternFill patternType="solid">
        <x:fgColor rgb="FF173D61"/>
      </x:patternFill>
    </x:fill>
    <x:fill>
      <x:patternFill patternType="solid">
        <x:fgColor rgb="FFF1F5F8"/>
      </x:patternFill>
    </x:fill>
    <x:fill>
      <x:patternFill patternType="solid">
        <x:fgColor rgb="FFECEFF2"/>
      </x:patternFill>
    </x:fill>
    <x:fill>
      <x:patternFill patternType="solid">
        <x:fgColor rgb="FFE7F2EC"/>
      </x:patternFill>
    </x:fill>
  </x:fills>
  <x:borders count="2">
    <x:border>
      <x:left/>
      <x:right/>
      <x:top/>
      <x:bottom/>
      <x:diagonal/>
    </x:border>
    <x:border>
      <x:left/>
      <x:right/>
      <x:top/>
      <x:bottom style="thin">
        <x:color rgb="FFAABBC8"/>
      </x:bottom>
      <x:diagonal/>
    </x:border>
  </x:borders>
  <x:cellStyleXfs count="1">
    <x:xf numFmtId="0" fontId="0" fillId="0" borderId="0"/>
  </x:cellStyleXfs>
  <x:cellXfs count="22">
    <x:xf numFmtId="0" fontId="0" fillId="0" borderId="0" xfId="0"/>
    <x:xf numFmtId="0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vertical="center"/>
    </x:xf>
    <x:xf numFmtId="0" fontId="2" fillId="0" borderId="0" xfId="0" applyNumberFormat="1" applyFont="1" applyFill="1" applyBorder="1" applyAlignment="1">
      <x:alignment vertical="center"/>
    </x:xf>
    <x:xf numFmtId="0" fontId="1" fillId="0" borderId="1" xfId="0" applyNumberFormat="1" applyFont="1" applyFill="1" applyBorder="1" applyAlignment="1">
      <x:alignment vertical="center"/>
    </x:xf>
    <x:xf numFmtId="0" fontId="1" fillId="2" borderId="0" xfId="0" applyNumberFormat="1" applyFont="1" applyFill="1" applyBorder="1" applyAlignment="1">
      <x:alignment vertical="center"/>
    </x:xf>
    <x:xf numFmtId="0" fontId="3" fillId="2" borderId="0" xfId="0" applyNumberFormat="1" applyFont="1" applyFill="1" applyBorder="1" applyAlignment="1">
      <x:alignment vertical="center"/>
    </x:xf>
    <x:xf numFmtId="0" fontId="3" fillId="2" borderId="0" xfId="0" applyNumberFormat="1" applyFont="1" applyFill="1" applyBorder="1" applyAlignment="1">
      <x:alignment horizontal="center" vertical="center"/>
    </x:xf>
    <x:xf numFmtId="200" fontId="1" fillId="0" borderId="0" xfId="0" applyNumberFormat="1" applyFont="1" applyFill="1" applyBorder="1" applyAlignment="1">
      <x:alignment vertical="center"/>
    </x:xf>
    <x:xf numFmtId="0" fontId="1" fillId="3" borderId="0" xfId="0" applyNumberFormat="1" applyFont="1" applyFill="1" applyBorder="1" applyAlignment="1">
      <x:alignment vertical="center"/>
    </x:xf>
    <x:xf numFmtId="200" fontId="1" fillId="3" borderId="0" xfId="0" applyNumberFormat="1" applyFont="1" applyFill="1" applyBorder="1" applyAlignment="1">
      <x:alignment vertical="center"/>
    </x:xf>
    <x:xf numFmtId="200" fontId="1" fillId="4" borderId="0" xfId="0" applyNumberFormat="1" applyFont="1" applyFill="1" applyBorder="1" applyAlignment="1">
      <x:alignment vertical="center"/>
    </x:xf>
    <x:xf numFmtId="200" fontId="1" fillId="5" borderId="0" xfId="0" applyNumberFormat="1" applyFont="1" applyFill="1" applyBorder="1" applyAlignment="1">
      <x:alignment vertical="center"/>
    </x:xf>
    <x:xf numFmtId="0" fontId="0" fillId="0" borderId="1" xfId="0" applyNumberFormat="1" applyFont="1" applyFill="1" applyBorder="1"/>
    <x:xf numFmtId="201" fontId="1" fillId="0" borderId="0" xfId="0" applyNumberFormat="1" applyFont="1" applyFill="1" applyBorder="1" applyAlignment="1">
      <x:alignment vertical="center"/>
    </x:xf>
    <x:xf numFmtId="202" fontId="1" fillId="0" borderId="0" xfId="0" applyNumberFormat="1" applyFont="1" applyFill="1" applyBorder="1" applyAlignment="1">
      <x:alignment vertical="center"/>
    </x:xf>
    <x:xf numFmtId="201" fontId="4" fillId="0" borderId="0" xfId="0" applyNumberFormat="1" applyFont="1" applyFill="1" applyBorder="1" applyAlignment="1">
      <x:alignment vertical="center"/>
    </x:xf>
    <x:xf numFmtId="0" fontId="4" fillId="0" borderId="0" xfId="0" applyNumberFormat="1" applyFont="1" applyFill="1" applyBorder="1" applyAlignment="1">
      <x:alignment vertical="center"/>
    </x:xf>
    <x:xf numFmtId="202" fontId="4" fillId="0" borderId="0" xfId="0" applyNumberFormat="1" applyFont="1" applyFill="1" applyBorder="1" applyAlignment="1">
      <x:alignment vertical="center"/>
    </x:xf>
    <x:xf numFmtId="203" fontId="1" fillId="0" borderId="0" xfId="0" applyNumberFormat="1" applyFont="1" applyFill="1" applyBorder="1" applyAlignment="1">
      <x:alignment vertical="center"/>
    </x:xf>
    <x:xf numFmtId="204" fontId="1" fillId="0" borderId="0" xfId="0" applyNumberFormat="1" applyFont="1" applyFill="1" applyBorder="1" applyAlignment="1">
      <x:alignment vertical="center"/>
    </x:xf>
    <x:xf numFmtId="204" fontId="4" fillId="0" borderId="0" xfId="0" applyNumberFormat="1" applyFont="1" applyFill="1" applyBorder="1" applyAlignment="1">
      <x:alignment vertical="center"/>
    </x:xf>
  </x:cellXfs>
  <x:cellStyles count="1">
    <x:cellStyle name="Normal" xfId="0"/>
  </x:cellStyles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de59b727b7a14631" /><Relationship Type="http://schemas.openxmlformats.org/officeDocument/2006/relationships/theme" Target="/xl/theme/theme1.xml" Id="R3efe302ecc45474f" /><Relationship Type="http://schemas.openxmlformats.org/officeDocument/2006/relationships/sharedStrings" Target="/xl/sharedStrings.xml" Id="R62ebe5a138d944b0" /><Relationship Type="http://schemas.openxmlformats.org/officeDocument/2006/relationships/worksheet" Target="/xl/worksheets/sheet1.xml" Id="R4f290d34ce27498c" /><Relationship Type="http://schemas.openxmlformats.org/officeDocument/2006/relationships/worksheet" Target="/xl/worksheets/sheet2.xml" Id="R6252868f0f924391" /><Relationship Type="http://schemas.openxmlformats.org/officeDocument/2006/relationships/worksheet" Target="/xl/worksheets/sheet3.xml" Id="R1ce0dd54a0b941a1" /></Relationships>
</file>

<file path=xl/tables/table1.xml><?xml version="1.0" encoding="utf-8"?>
<x:table xmlns:x="http://schemas.openxmlformats.org/spreadsheetml/2006/main" id="1" name="YardeniSource" displayName="YardeniSource" ref="A8:I708" headerRowCount="1" totalsRowCount="0" totalsRowShown="0">
  <x:tableColumns count="9">
    <x:tableColumn id="1" name="季度"/>
    <x:tableColumn id="2" name="板块代码"/>
    <x:tableColumn id="3" name="板块"/>
    <x:tableColumn id="4" name="EPS（美元）"/>
    <x:tableColumn id="5" name="取值方法"/>
    <x:tableColumn id="6" name="2像素敏感度"/>
    <x:tableColumn id="7" name="横坐标"/>
    <x:tableColumn id="8" name="纵坐标"/>
    <x:tableColumn id="9" name="实际/预测状态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&#65279;<?xml version="1.0" encoding="utf-8"?><Relationships xmlns="http://schemas.openxmlformats.org/package/2006/relationships"><Relationship Type="http://schemas.openxmlformats.org/officeDocument/2006/relationships/table" Target="/xl/tables/table1.xml" Id="Rae5a5259607244de" /></Relationships>
</file>

<file path=xl/worksheets/sheet1.xml><?xml version="1.0" encoding="utf-8"?>
<x:worksheet xmlns:x="http://schemas.openxmlformats.org/spreadsheetml/2006/main">
  <x:sheetPr>
    <x:tabColor rgb="FF173D61"/>
  </x:sheetPr>
  <x:sheetViews>
    <x:sheetView showGridLines="0" workbookViewId="0">
      <x:pane xSplit="1" ySplit="9" topLeftCell="B10" activePane="bottomRight" state="frozen"/>
    </x:sheetView>
  </x:sheetViews>
  <x:sheetFormatPr defaultRowHeight="15"/>
  <x:cols>
    <x:col min="1" max="1" width="13" hidden="0" customWidth="1"/>
    <x:col min="2" max="2" width="13.5" hidden="0" customWidth="1"/>
    <x:col min="3" max="3" width="13.5" hidden="0" customWidth="1"/>
    <x:col min="4" max="4" width="13.5" hidden="0" customWidth="1"/>
    <x:col min="5" max="5" width="13.5" hidden="0" customWidth="1"/>
    <x:col min="6" max="6" width="13.5" hidden="0" customWidth="1"/>
    <x:col min="7" max="7" width="13.5" hidden="0" customWidth="1"/>
    <x:col min="8" max="8" width="13.5" hidden="0" customWidth="1"/>
    <x:col min="9" max="9" width="13.5" hidden="0" customWidth="1"/>
    <x:col min="10" max="10" width="13.5" hidden="0" customWidth="1"/>
    <x:col min="11" max="11" width="13.5" hidden="0" customWidth="1"/>
    <x:col min="12" max="12" width="13.5" hidden="0" customWidth="1"/>
    <x:col min="13" max="13" width="28" hidden="0" customWidth="1"/>
  </x:cols>
  <x:sheetData>
    <x:row r="1" ht="24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  <x:c r="K1" s="2"/>
      <x:c r="L1" s="2"/>
      <x:c r="M1" s="2"/>
    </x:row>
    <x:row r="2" ht="24" customHeight="1">
      <x:c r="A2" s="3" t="str">
        <x:v>Yardeni / LSEG 板块季度 Operating EPS</x:v>
      </x:c>
      <x:c r="B2" s="2"/>
      <x:c r="C2" s="2"/>
      <x:c r="D2" s="2"/>
      <x:c r="E2" s="2"/>
      <x:c r="F2" s="2"/>
      <x:c r="G2" s="2"/>
      <x:c r="H2" s="2"/>
      <x:c r="I2" s="2"/>
      <x:c r="J2" s="2"/>
      <x:c r="K2" s="2"/>
      <x:c r="L2" s="2"/>
      <x:c r="M2" s="2"/>
    </x:row>
    <x:row r="3" ht="24" customHeight="1">
      <x:c r="A3" s="4"/>
      <x:c r="B3" s="4"/>
      <x:c r="C3" s="4"/>
      <x:c r="D3" s="4"/>
      <x:c r="E3" s="4"/>
      <x:c r="F3" s="4"/>
      <x:c r="G3" s="4"/>
      <x:c r="H3" s="4"/>
      <x:c r="I3" s="4"/>
      <x:c r="J3" s="4"/>
      <x:c r="K3" s="4"/>
      <x:c r="L3" s="4"/>
      <x:c r="M3" s="2"/>
    </x:row>
    <x:row r="4" ht="24" customHeight="1">
      <x:c r="A4" s="2" t="str">
        <x:v>700 个数统一为 Yardeni/LSEG，包含 2025Q4。2010Q1—2026Q2，房地产从 2016Q3 开始。</x:v>
      </x:c>
      <x:c r="B4" s="2"/>
      <x:c r="C4" s="2"/>
      <x:c r="D4" s="2"/>
      <x:c r="E4" s="2"/>
      <x:c r="F4" s="2"/>
      <x:c r="G4" s="2"/>
      <x:c r="H4" s="2"/>
      <x:c r="I4" s="2"/>
      <x:c r="J4" s="2"/>
      <x:c r="K4" s="2"/>
      <x:c r="L4" s="2"/>
      <x:c r="M4" s="2"/>
    </x:row>
    <x:row r="5" ht="24" customHeight="1">
      <x:c r="A5" s="2" t="str">
        <x:v>绿色：2026Q2 图中印出的 11 个数。其余 689 个数：曲线读取近似值。两位小数是显示格式。</x:v>
      </x:c>
      <x:c r="B5" s="2"/>
      <x:c r="C5" s="2"/>
      <x:c r="D5" s="2"/>
      <x:c r="E5" s="2"/>
      <x:c r="F5" s="2"/>
      <x:c r="G5" s="2"/>
      <x:c r="H5" s="2"/>
      <x:c r="I5" s="2"/>
      <x:c r="J5" s="2"/>
      <x:c r="K5" s="2"/>
      <x:c r="L5" s="2"/>
      <x:c r="M5" s="2"/>
    </x:row>
    <x:row r="6" ht="24" customHeight="1">
      <x:c r="A6" s="2" t="str">
        <x:v>灰色空格：2009 全年及房地产 2010Q1—2016Q2 缺少同口径数据。空格不代表零。</x:v>
      </x:c>
      <x:c r="B6" s="2"/>
      <x:c r="C6" s="2"/>
      <x:c r="D6" s="2"/>
      <x:c r="E6" s="2"/>
      <x:c r="F6" s="2"/>
      <x:c r="G6" s="2"/>
      <x:c r="H6" s="2"/>
      <x:c r="I6" s="2"/>
      <x:c r="J6" s="2"/>
      <x:c r="K6" s="2"/>
      <x:c r="L6" s="2"/>
      <x:c r="M6" s="2"/>
    </x:row>
    <x:row r="7" ht="24" customHeight="1">
      <x:c r="A7" s="2" t="str">
        <x:v>美元，单季，未季调，I/B/E/S Operating。历史图表未标为预测，最终实际值状态未逐项核验。</x:v>
      </x:c>
      <x:c r="B7" s="2"/>
      <x:c r="C7" s="2"/>
      <x:c r="D7" s="2"/>
      <x:c r="E7" s="2"/>
      <x:c r="F7" s="2"/>
      <x:c r="G7" s="2"/>
      <x:c r="H7" s="2"/>
      <x:c r="I7" s="2"/>
      <x:c r="J7" s="2"/>
      <x:c r="K7" s="2"/>
      <x:c r="L7" s="2"/>
      <x:c r="M7" s="2"/>
    </x:row>
    <x:row r="8" ht="24" customHeight="1">
      <x:c r="A8" s="2"/>
      <x:c r="B8" s="2"/>
      <x:c r="C8" s="2"/>
      <x:c r="D8" s="2"/>
      <x:c r="E8" s="2"/>
      <x:c r="F8" s="2"/>
      <x:c r="G8" s="2"/>
      <x:c r="H8" s="2"/>
      <x:c r="I8" s="2"/>
      <x:c r="J8" s="2"/>
      <x:c r="K8" s="2"/>
      <x:c r="L8" s="2"/>
      <x:c r="M8" s="2"/>
    </x:row>
    <x:row r="9" ht="30" customHeight="1">
      <x:c r="A9" s="7" t="str">
        <x:v>季度</x:v>
      </x:c>
      <x:c r="B9" s="7" t="str">
        <x:v>通信服务</x:v>
      </x:c>
      <x:c r="C9" s="7" t="str">
        <x:v>可选消费</x:v>
      </x:c>
      <x:c r="D9" s="7" t="str">
        <x:v>必需消费</x:v>
      </x:c>
      <x:c r="E9" s="7" t="str">
        <x:v>能源</x:v>
      </x:c>
      <x:c r="F9" s="7" t="str">
        <x:v>金融</x:v>
      </x:c>
      <x:c r="G9" s="7" t="str">
        <x:v>医疗保健</x:v>
      </x:c>
      <x:c r="H9" s="7" t="str">
        <x:v>工业</x:v>
      </x:c>
      <x:c r="I9" s="7" t="str">
        <x:v>信息技术</x:v>
      </x:c>
      <x:c r="J9" s="7" t="str">
        <x:v>材料</x:v>
      </x:c>
      <x:c r="K9" s="7" t="str">
        <x:v>房地产</x:v>
      </x:c>
      <x:c r="L9" s="7" t="str">
        <x:v>公用事业</x:v>
      </x:c>
      <x:c r="M9" s="7" t="str">
        <x:v>取值说明</x:v>
      </x:c>
    </x:row>
    <x:row r="10" ht="24" customHeight="1">
      <x:c r="A10" s="9" t="str">
        <x:v>2009Q1</x:v>
      </x:c>
      <x:c r="B10" s="11"/>
      <x:c r="C10" s="11"/>
      <x:c r="D10" s="11"/>
      <x:c r="E10" s="11"/>
      <x:c r="F10" s="11"/>
      <x:c r="G10" s="11"/>
      <x:c r="H10" s="11"/>
      <x:c r="I10" s="11"/>
      <x:c r="J10" s="11"/>
      <x:c r="K10" s="11"/>
      <x:c r="L10" s="11"/>
      <x:c r="M10" s="9" t="str">
        <x:v>缺少 Yardeni 数据</x:v>
      </x:c>
    </x:row>
    <x:row r="11" ht="24" customHeight="1">
      <x:c r="A11" s="2" t="str">
        <x:v>2009Q2</x:v>
      </x:c>
      <x:c r="B11" s="11"/>
      <x:c r="C11" s="11"/>
      <x:c r="D11" s="11"/>
      <x:c r="E11" s="11"/>
      <x:c r="F11" s="11"/>
      <x:c r="G11" s="11"/>
      <x:c r="H11" s="11"/>
      <x:c r="I11" s="11"/>
      <x:c r="J11" s="11"/>
      <x:c r="K11" s="11"/>
      <x:c r="L11" s="11"/>
      <x:c r="M11" s="2" t="str">
        <x:v>缺少 Yardeni 数据</x:v>
      </x:c>
    </x:row>
    <x:row r="12" ht="24" customHeight="1">
      <x:c r="A12" s="9" t="str">
        <x:v>2009Q3</x:v>
      </x:c>
      <x:c r="B12" s="11"/>
      <x:c r="C12" s="11"/>
      <x:c r="D12" s="11"/>
      <x:c r="E12" s="11"/>
      <x:c r="F12" s="11"/>
      <x:c r="G12" s="11"/>
      <x:c r="H12" s="11"/>
      <x:c r="I12" s="11"/>
      <x:c r="J12" s="11"/>
      <x:c r="K12" s="11"/>
      <x:c r="L12" s="11"/>
      <x:c r="M12" s="9" t="str">
        <x:v>缺少 Yardeni 数据</x:v>
      </x:c>
    </x:row>
    <x:row r="13" ht="24" customHeight="1">
      <x:c r="A13" s="2" t="str">
        <x:v>2009Q4</x:v>
      </x:c>
      <x:c r="B13" s="11"/>
      <x:c r="C13" s="11"/>
      <x:c r="D13" s="11"/>
      <x:c r="E13" s="11"/>
      <x:c r="F13" s="11"/>
      <x:c r="G13" s="11"/>
      <x:c r="H13" s="11"/>
      <x:c r="I13" s="11"/>
      <x:c r="J13" s="11"/>
      <x:c r="K13" s="11"/>
      <x:c r="L13" s="11"/>
      <x:c r="M13" s="2" t="str">
        <x:v>缺少 Yardeni 数据</x:v>
      </x:c>
    </x:row>
    <x:row r="14" ht="24" customHeight="1">
      <x:c r="A14" s="9" t="str">
        <x:v>2010Q1</x:v>
      </x:c>
      <x:c r="B14" s="10" t="n">
        <x:f>'取值明细'!D9</x:f>
        <x:v>1.792</x:v>
      </x:c>
      <x:c r="C14" s="10" t="n">
        <x:f>'取值明细'!D10</x:f>
        <x:v>4.198</x:v>
      </x:c>
      <x:c r="D14" s="10" t="n">
        <x:f>'取值明细'!D11</x:f>
        <x:v>4.874</x:v>
      </x:c>
      <x:c r="E14" s="10" t="n">
        <x:f>'取值明细'!D12</x:f>
        <x:v>8.194</x:v>
      </x:c>
      <x:c r="F14" s="10" t="n">
        <x:f>'取值明细'!D13</x:f>
        <x:v>3.697</x:v>
      </x:c>
      <x:c r="G14" s="10" t="n">
        <x:f>'取值明细'!D14</x:f>
        <x:v>7.98</x:v>
      </x:c>
      <x:c r="H14" s="10" t="n">
        <x:f>'取值明细'!D15</x:f>
        <x:v>3.587</x:v>
      </x:c>
      <x:c r="I14" s="10" t="n">
        <x:f>'取值明细'!D16</x:f>
        <x:v>6.506</x:v>
      </x:c>
      <x:c r="J14" s="10" t="n">
        <x:f>'取值明细'!D17</x:f>
        <x:v>3.155</x:v>
      </x:c>
      <x:c r="K14" s="11"/>
      <x:c r="L14" s="10" t="n">
        <x:f>'取值明细'!D18</x:f>
        <x:v>3.301</x:v>
      </x:c>
      <x:c r="M14" s="9" t="str">
        <x:v>曲线近似值；房地产空缺</x:v>
      </x:c>
    </x:row>
    <x:row r="15" ht="24" customHeight="1">
      <x:c r="A15" s="2" t="str">
        <x:v>2010Q2</x:v>
      </x:c>
      <x:c r="B15" s="8" t="n">
        <x:f>'取值明细'!D19</x:f>
        <x:v>1.96</x:v>
      </x:c>
      <x:c r="C15" s="8" t="n">
        <x:f>'取值明细'!D20</x:f>
        <x:v>4.62</x:v>
      </x:c>
      <x:c r="D15" s="8" t="n">
        <x:f>'取值明细'!D21</x:f>
        <x:v>5.332</x:v>
      </x:c>
      <x:c r="E15" s="8" t="n">
        <x:f>'取值明细'!D22</x:f>
        <x:v>9.555</x:v>
      </x:c>
      <x:c r="F15" s="8" t="n">
        <x:f>'取值明细'!D23</x:f>
        <x:v>3.762</x:v>
      </x:c>
      <x:c r="G15" s="8" t="n">
        <x:f>'取值明细'!D24</x:f>
        <x:v>7.97</x:v>
      </x:c>
      <x:c r="H15" s="8" t="n">
        <x:f>'取值明细'!D25</x:f>
        <x:v>4.698</x:v>
      </x:c>
      <x:c r="I15" s="8" t="n">
        <x:f>'取值明细'!D26</x:f>
        <x:v>7.202</x:v>
      </x:c>
      <x:c r="J15" s="8" t="n">
        <x:f>'取值明细'!D27</x:f>
        <x:v>3.486</x:v>
      </x:c>
      <x:c r="K15" s="11"/>
      <x:c r="L15" s="8" t="n">
        <x:f>'取值明细'!D28</x:f>
        <x:v>2.843</x:v>
      </x:c>
      <x:c r="M15" s="2" t="str">
        <x:v>曲线近似值；房地产空缺</x:v>
      </x:c>
    </x:row>
    <x:row r="16" ht="24" customHeight="1">
      <x:c r="A16" s="9" t="str">
        <x:v>2010Q3</x:v>
      </x:c>
      <x:c r="B16" s="10" t="n">
        <x:f>'取值明细'!D29</x:f>
        <x:v>1.679</x:v>
      </x:c>
      <x:c r="C16" s="10" t="n">
        <x:f>'取值明细'!D30</x:f>
        <x:v>4.351</x:v>
      </x:c>
      <x:c r="D16" s="10" t="n">
        <x:f>'取值明细'!D31</x:f>
        <x:v>5.529</x:v>
      </x:c>
      <x:c r="E16" s="10" t="n">
        <x:f>'取值明细'!D32</x:f>
        <x:v>8.324</x:v>
      </x:c>
      <x:c r="F16" s="10" t="n">
        <x:f>'取值明细'!D33</x:f>
        <x:v>3.759</x:v>
      </x:c>
      <x:c r="G16" s="10" t="n">
        <x:f>'取值明细'!D34</x:f>
        <x:v>8.057</x:v>
      </x:c>
      <x:c r="H16" s="10" t="n">
        <x:f>'取值明细'!D35</x:f>
        <x:v>4.784</x:v>
      </x:c>
      <x:c r="I16" s="10" t="n">
        <x:f>'取值明细'!D36</x:f>
        <x:v>7.861</x:v>
      </x:c>
      <x:c r="J16" s="10" t="n">
        <x:f>'取值明细'!D37</x:f>
        <x:v>3.01</x:v>
      </x:c>
      <x:c r="K16" s="11"/>
      <x:c r="L16" s="10" t="n">
        <x:f>'取值明细'!D38</x:f>
        <x:v>4.261</x:v>
      </x:c>
      <x:c r="M16" s="9" t="str">
        <x:v>曲线近似值；房地产空缺</x:v>
      </x:c>
    </x:row>
    <x:row r="17" ht="24" customHeight="1">
      <x:c r="A17" s="2" t="str">
        <x:v>2010Q4</x:v>
      </x:c>
      <x:c r="B17" s="8" t="n">
        <x:f>'取值明细'!D39</x:f>
        <x:v>1.679</x:v>
      </x:c>
      <x:c r="C17" s="8" t="n">
        <x:f>'取值明细'!D40</x:f>
        <x:v>5.186</x:v>
      </x:c>
      <x:c r="D17" s="8" t="n">
        <x:f>'取值明细'!D41</x:f>
        <x:v>5.952</x:v>
      </x:c>
      <x:c r="E17" s="8" t="n">
        <x:f>'取值明细'!D42</x:f>
        <x:v>9.68</x:v>
      </x:c>
      <x:c r="F17" s="8" t="n">
        <x:f>'取值明细'!D43</x:f>
        <x:v>3.7</x:v>
      </x:c>
      <x:c r="G17" s="8" t="n">
        <x:f>'取值明细'!D44</x:f>
        <x:v>7.747</x:v>
      </x:c>
      <x:c r="H17" s="8" t="n">
        <x:f>'取值明细'!D45</x:f>
        <x:v>5.076</x:v>
      </x:c>
      <x:c r="I17" s="8" t="n">
        <x:f>'取值明细'!D46</x:f>
        <x:v>8.824</x:v>
      </x:c>
      <x:c r="J17" s="8" t="n">
        <x:f>'取值明细'!D47</x:f>
        <x:v>3.257</x:v>
      </x:c>
      <x:c r="K17" s="11"/>
      <x:c r="L17" s="8" t="n">
        <x:f>'取值明细'!D48</x:f>
        <x:v>2.424</x:v>
      </x:c>
      <x:c r="M17" s="2" t="str">
        <x:v>曲线近似值；房地产空缺</x:v>
      </x:c>
    </x:row>
    <x:row r="18" ht="24" customHeight="1">
      <x:c r="A18" s="9" t="str">
        <x:v>2011Q1</x:v>
      </x:c>
      <x:c r="B18" s="10" t="n">
        <x:f>'取值明细'!D49</x:f>
        <x:v>1.842</x:v>
      </x:c>
      <x:c r="C18" s="10" t="n">
        <x:f>'取值明细'!D50</x:f>
        <x:v>4.758</x:v>
      </x:c>
      <x:c r="D18" s="10" t="n">
        <x:f>'取值明细'!D51</x:f>
        <x:v>5.268</x:v>
      </x:c>
      <x:c r="E18" s="10" t="n">
        <x:f>'取值明细'!D52</x:f>
        <x:v>11.382</x:v>
      </x:c>
      <x:c r="F18" s="10" t="n">
        <x:f>'取值明细'!D53</x:f>
        <x:v>4.146</x:v>
      </x:c>
      <x:c r="G18" s="10" t="n">
        <x:f>'取值明细'!D54</x:f>
        <x:v>8.505</x:v>
      </x:c>
      <x:c r="H18" s="10" t="n">
        <x:f>'取值明细'!D55</x:f>
        <x:v>4.771</x:v>
      </x:c>
      <x:c r="I18" s="10" t="n">
        <x:f>'取值明细'!D56</x:f>
        <x:v>8.18</x:v>
      </x:c>
      <x:c r="J18" s="10" t="n">
        <x:f>'取值明细'!D57</x:f>
        <x:v>4.84</x:v>
      </x:c>
      <x:c r="K18" s="11"/>
      <x:c r="L18" s="10" t="n">
        <x:f>'取值明细'!D58</x:f>
        <x:v>3.498</x:v>
      </x:c>
      <x:c r="M18" s="9" t="str">
        <x:v>曲线近似值；房地产空缺</x:v>
      </x:c>
    </x:row>
    <x:row r="19" ht="24" customHeight="1">
      <x:c r="A19" s="2" t="str">
        <x:v>2011Q2</x:v>
      </x:c>
      <x:c r="B19" s="8" t="n">
        <x:f>'取值明细'!D59</x:f>
        <x:v>2.072</x:v>
      </x:c>
      <x:c r="C19" s="8" t="n">
        <x:f>'取值明细'!D60</x:f>
        <x:v>5.472</x:v>
      </x:c>
      <x:c r="D19" s="8" t="n">
        <x:f>'取值明细'!D61</x:f>
        <x:v>5.991</x:v>
      </x:c>
      <x:c r="E19" s="8" t="n">
        <x:f>'取值明细'!D62</x:f>
        <x:v>12.96</x:v>
      </x:c>
      <x:c r="F19" s="8" t="n">
        <x:f>'取值明细'!D63</x:f>
        <x:v>2.841</x:v>
      </x:c>
      <x:c r="G19" s="8" t="n">
        <x:f>'取值明细'!D64</x:f>
        <x:v>8.638</x:v>
      </x:c>
      <x:c r="H19" s="8" t="n">
        <x:f>'取值明细'!D65</x:f>
        <x:v>5.536</x:v>
      </x:c>
      <x:c r="I19" s="8" t="n">
        <x:f>'取值明细'!D66</x:f>
        <x:v>8.812</x:v>
      </x:c>
      <x:c r="J19" s="8" t="n">
        <x:f>'取值明细'!D67</x:f>
        <x:v>5.636</x:v>
      </x:c>
      <x:c r="K19" s="11"/>
      <x:c r="L19" s="8" t="n">
        <x:f>'取值明细'!D68</x:f>
        <x:v>3.19</x:v>
      </x:c>
      <x:c r="M19" s="2" t="str">
        <x:v>曲线近似值；房地产空缺</x:v>
      </x:c>
    </x:row>
    <x:row r="20" ht="24" customHeight="1">
      <x:c r="A20" s="9" t="str">
        <x:v>2011Q3</x:v>
      </x:c>
      <x:c r="B20" s="10" t="n">
        <x:f>'取值明细'!D69</x:f>
        <x:v>1.953</x:v>
      </x:c>
      <x:c r="C20" s="10" t="n">
        <x:f>'取值明细'!D70</x:f>
        <x:v>5.038</x:v>
      </x:c>
      <x:c r="D20" s="10" t="n">
        <x:f>'取值明细'!D71</x:f>
        <x:v>6.087</x:v>
      </x:c>
      <x:c r="E20" s="10" t="n">
        <x:f>'取值明细'!D72</x:f>
        <x:v>12.944</x:v>
      </x:c>
      <x:c r="F20" s="10" t="n">
        <x:f>'取值明细'!D73</x:f>
        <x:v>4.425</x:v>
      </x:c>
      <x:c r="G20" s="10" t="n">
        <x:f>'取值明细'!D74</x:f>
        <x:v>8.626</x:v>
      </x:c>
      <x:c r="H20" s="10" t="n">
        <x:f>'取值明细'!D75</x:f>
        <x:v>5.439</x:v>
      </x:c>
      <x:c r="I20" s="10" t="n">
        <x:f>'取值明细'!D76</x:f>
        <x:v>8.187</x:v>
      </x:c>
      <x:c r="J20" s="10" t="n">
        <x:f>'取值明细'!D77</x:f>
        <x:v>4.126</x:v>
      </x:c>
      <x:c r="K20" s="11"/>
      <x:c r="L20" s="10" t="n">
        <x:f>'取值明细'!D78</x:f>
        <x:v>4.358</x:v>
      </x:c>
      <x:c r="M20" s="9" t="str">
        <x:v>曲线近似值；房地产空缺</x:v>
      </x:c>
    </x:row>
    <x:row r="21" ht="24" customHeight="1">
      <x:c r="A21" s="2" t="str">
        <x:v>2011Q4</x:v>
      </x:c>
      <x:c r="B21" s="8" t="n">
        <x:f>'取值明细'!D79</x:f>
        <x:v>1.28</x:v>
      </x:c>
      <x:c r="C21" s="8" t="n">
        <x:f>'取值明细'!D80</x:f>
        <x:v>5.606</x:v>
      </x:c>
      <x:c r="D21" s="8" t="n">
        <x:f>'取值明细'!D81</x:f>
        <x:v>6.247</x:v>
      </x:c>
      <x:c r="E21" s="8" t="n">
        <x:f>'取值明细'!D82</x:f>
        <x:v>10.815</x:v>
      </x:c>
      <x:c r="F21" s="8" t="n">
        <x:f>'取值明细'!D83</x:f>
        <x:v>3.881</x:v>
      </x:c>
      <x:c r="G21" s="8" t="n">
        <x:f>'取值明细'!D84</x:f>
        <x:v>8.292</x:v>
      </x:c>
      <x:c r="H21" s="8" t="n">
        <x:f>'取值明细'!D85</x:f>
        <x:v>5.752</x:v>
      </x:c>
      <x:c r="I21" s="8" t="n">
        <x:f>'取值明细'!D86</x:f>
        <x:v>10.16</x:v>
      </x:c>
      <x:c r="J21" s="8" t="n">
        <x:f>'取值明细'!D87</x:f>
        <x:v>2.876</x:v>
      </x:c>
      <x:c r="K21" s="11"/>
      <x:c r="L21" s="8" t="n">
        <x:f>'取值明细'!D88</x:f>
        <x:v>2.44</x:v>
      </x:c>
      <x:c r="M21" s="2" t="str">
        <x:v>曲线近似值；房地产空缺</x:v>
      </x:c>
    </x:row>
    <x:row r="22" ht="24" customHeight="1">
      <x:c r="A22" s="9" t="str">
        <x:v>2012Q1</x:v>
      </x:c>
      <x:c r="B22" s="10" t="n">
        <x:f>'取值明细'!D89</x:f>
        <x:v>1.795</x:v>
      </x:c>
      <x:c r="C22" s="10" t="n">
        <x:f>'取值明细'!D90</x:f>
        <x:v>4.914</x:v>
      </x:c>
      <x:c r="D22" s="10" t="n">
        <x:f>'取值明细'!D91</x:f>
        <x:v>5.565</x:v>
      </x:c>
      <x:c r="E22" s="10" t="n">
        <x:f>'取值明细'!D92</x:f>
        <x:v>11.377</x:v>
      </x:c>
      <x:c r="F22" s="10" t="n">
        <x:f>'取值明细'!D93</x:f>
        <x:v>4.875</x:v>
      </x:c>
      <x:c r="G22" s="10" t="n">
        <x:f>'取值明细'!D94</x:f>
        <x:v>8.845</x:v>
      </x:c>
      <x:c r="H22" s="10" t="n">
        <x:f>'取值明细'!D95</x:f>
        <x:v>5.526</x:v>
      </x:c>
      <x:c r="I22" s="10" t="n">
        <x:f>'取值明细'!D96</x:f>
        <x:v>9.188</x:v>
      </x:c>
      <x:c r="J22" s="10" t="n">
        <x:f>'取值明细'!D97</x:f>
        <x:v>4.511</x:v>
      </x:c>
      <x:c r="K22" s="11"/>
      <x:c r="L22" s="10" t="n">
        <x:f>'取值明细'!D98</x:f>
        <x:v>2.971</x:v>
      </x:c>
      <x:c r="M22" s="9" t="str">
        <x:v>曲线近似值；房地产空缺</x:v>
      </x:c>
    </x:row>
    <x:row r="23" ht="24" customHeight="1">
      <x:c r="A23" s="2" t="str">
        <x:v>2012Q2</x:v>
      </x:c>
      <x:c r="B23" s="8" t="n">
        <x:f>'取值明细'!D99</x:f>
        <x:v>1.959</x:v>
      </x:c>
      <x:c r="C23" s="8" t="n">
        <x:f>'取值明细'!D100</x:f>
        <x:v>5.609</x:v>
      </x:c>
      <x:c r="D23" s="8" t="n">
        <x:f>'取值明细'!D101</x:f>
        <x:v>6.179</x:v>
      </x:c>
      <x:c r="E23" s="8" t="n">
        <x:f>'取值明细'!D102</x:f>
        <x:v>10.961</x:v>
      </x:c>
      <x:c r="F23" s="8" t="n">
        <x:f>'取值明细'!D103</x:f>
        <x:v>4.547</x:v>
      </x:c>
      <x:c r="G23" s="8" t="n">
        <x:f>'取值明细'!D104</x:f>
        <x:v>8.972</x:v>
      </x:c>
      <x:c r="H23" s="8" t="n">
        <x:f>'取值明细'!D105</x:f>
        <x:v>6.187</x:v>
      </x:c>
      <x:c r="I23" s="8" t="n">
        <x:f>'取值明细'!D106</x:f>
        <x:v>9.153</x:v>
      </x:c>
      <x:c r="J23" s="8" t="n">
        <x:f>'取值明细'!D107</x:f>
        <x:v>4.453</x:v>
      </x:c>
      <x:c r="K23" s="11"/>
      <x:c r="L23" s="8" t="n">
        <x:f>'取值明细'!D108</x:f>
        <x:v>2.88</x:v>
      </x:c>
      <x:c r="M23" s="2" t="str">
        <x:v>曲线近似值；房地产空缺</x:v>
      </x:c>
    </x:row>
    <x:row r="24" ht="24" customHeight="1">
      <x:c r="A24" s="9" t="str">
        <x:v>2012Q3</x:v>
      </x:c>
      <x:c r="B24" s="10" t="n">
        <x:f>'取值明细'!D109</x:f>
        <x:v>2.009</x:v>
      </x:c>
      <x:c r="C24" s="10" t="n">
        <x:f>'取值明细'!D110</x:f>
        <x:v>5.881</x:v>
      </x:c>
      <x:c r="D24" s="10" t="n">
        <x:f>'取值明细'!D111</x:f>
        <x:v>6.35</x:v>
      </x:c>
      <x:c r="E24" s="10" t="n">
        <x:f>'取值明细'!D112</x:f>
        <x:v>10.973</x:v>
      </x:c>
      <x:c r="F24" s="10" t="n">
        <x:f>'取值明细'!D113</x:f>
        <x:v>4.803</x:v>
      </x:c>
      <x:c r="G24" s="10" t="n">
        <x:f>'取值明细'!D114</x:f>
        <x:v>8.726</x:v>
      </x:c>
      <x:c r="H24" s="10" t="n">
        <x:f>'取值明细'!D115</x:f>
        <x:v>6.124</x:v>
      </x:c>
      <x:c r="I24" s="10" t="n">
        <x:f>'取值明细'!D116</x:f>
        <x:v>8.521</x:v>
      </x:c>
      <x:c r="J24" s="10" t="n">
        <x:f>'取值明细'!D117</x:f>
        <x:v>2.918</x:v>
      </x:c>
      <x:c r="K24" s="11"/>
      <x:c r="L24" s="10" t="n">
        <x:f>'取值明细'!D118</x:f>
        <x:v>4.069</x:v>
      </x:c>
      <x:c r="M24" s="9" t="str">
        <x:v>曲线近似值；房地产空缺</x:v>
      </x:c>
    </x:row>
    <x:row r="25" ht="24" customHeight="1">
      <x:c r="A25" s="2" t="str">
        <x:v>2012Q4</x:v>
      </x:c>
      <x:c r="B25" s="8" t="n">
        <x:f>'取值明细'!D119</x:f>
        <x:v>1.119</x:v>
      </x:c>
      <x:c r="C25" s="8" t="n">
        <x:f>'取值明细'!D120</x:f>
        <x:v>6.443</x:v>
      </x:c>
      <x:c r="D25" s="8" t="n">
        <x:f>'取值明细'!D121</x:f>
        <x:v>6.965</x:v>
      </x:c>
      <x:c r="E25" s="8" t="n">
        <x:f>'取值明细'!D122</x:f>
        <x:v>11.812</x:v>
      </x:c>
      <x:c r="F25" s="8" t="n">
        <x:f>'取值明细'!D123</x:f>
        <x:v>4.548</x:v>
      </x:c>
      <x:c r="G25" s="8" t="n">
        <x:f>'取值明细'!D124</x:f>
        <x:v>8.295</x:v>
      </x:c>
      <x:c r="H25" s="8" t="n">
        <x:f>'取值明细'!D125</x:f>
        <x:v>5.822</x:v>
      </x:c>
      <x:c r="I25" s="8" t="n">
        <x:f>'取值明细'!D126</x:f>
        <x:v>10.458</x:v>
      </x:c>
      <x:c r="J25" s="8" t="n">
        <x:f>'取值明细'!D127</x:f>
        <x:v>3.26</x:v>
      </x:c>
      <x:c r="K25" s="11"/>
      <x:c r="L25" s="8" t="n">
        <x:f>'取值明细'!D128</x:f>
        <x:v>2.679</x:v>
      </x:c>
      <x:c r="M25" s="2" t="str">
        <x:v>曲线近似值；房地产空缺</x:v>
      </x:c>
    </x:row>
    <x:row r="26" ht="24" customHeight="1">
      <x:c r="A26" s="9" t="str">
        <x:v>2013Q1</x:v>
      </x:c>
      <x:c r="B26" s="10" t="n">
        <x:f>'取值明细'!D129</x:f>
        <x:v>2.015</x:v>
      </x:c>
      <x:c r="C26" s="10" t="n">
        <x:f>'取值明细'!D130</x:f>
        <x:v>5.753</x:v>
      </x:c>
      <x:c r="D26" s="10" t="n">
        <x:f>'取值明细'!D131</x:f>
        <x:v>5.923</x:v>
      </x:c>
      <x:c r="E26" s="10" t="n">
        <x:f>'取值明细'!D132</x:f>
        <x:v>11.662</x:v>
      </x:c>
      <x:c r="F26" s="10" t="n">
        <x:f>'取值明细'!D133</x:f>
        <x:v>5.532</x:v>
      </x:c>
      <x:c r="G26" s="10" t="n">
        <x:f>'取值明细'!D134</x:f>
        <x:v>8.729</x:v>
      </x:c>
      <x:c r="H26" s="10" t="n">
        <x:f>'取值明细'!D135</x:f>
        <x:v>5.898</x:v>
      </x:c>
      <x:c r="I26" s="10" t="n">
        <x:f>'取值明细'!D136</x:f>
        <x:v>9.156</x:v>
      </x:c>
      <x:c r="J26" s="10" t="n">
        <x:f>'取值明细'!D137</x:f>
        <x:v>4.744</x:v>
      </x:c>
      <x:c r="K26" s="11"/>
      <x:c r="L26" s="10" t="n">
        <x:f>'取值明细'!D138</x:f>
        <x:v>3.047</x:v>
      </x:c>
      <x:c r="M26" s="9" t="str">
        <x:v>曲线近似值；房地产空缺</x:v>
      </x:c>
    </x:row>
    <x:row r="27" ht="24" customHeight="1">
      <x:c r="A27" s="2" t="str">
        <x:v>2013Q2</x:v>
      </x:c>
      <x:c r="B27" s="8" t="n">
        <x:f>'取值明细'!D139</x:f>
        <x:v>2.407</x:v>
      </x:c>
      <x:c r="C27" s="8" t="n">
        <x:f>'取值明细'!D140</x:f>
        <x:v>6.435</x:v>
      </x:c>
      <x:c r="D27" s="8" t="n">
        <x:f>'取值明细'!D141</x:f>
        <x:v>6.547</x:v>
      </x:c>
      <x:c r="E27" s="8" t="n">
        <x:f>'取值明细'!D142</x:f>
        <x:v>10.428</x:v>
      </x:c>
      <x:c r="F27" s="8" t="n">
        <x:f>'取值明细'!D143</x:f>
        <x:v>5.854</x:v>
      </x:c>
      <x:c r="G27" s="8" t="n">
        <x:f>'取值明细'!D144</x:f>
        <x:v>8.861</x:v>
      </x:c>
      <x:c r="H27" s="8" t="n">
        <x:f>'取值明细'!D145</x:f>
        <x:v>6.723</x:v>
      </x:c>
      <x:c r="I27" s="8" t="n">
        <x:f>'取值明细'!D146</x:f>
        <x:v>8.84</x:v>
      </x:c>
      <x:c r="J27" s="8" t="n">
        <x:f>'取值明细'!D147</x:f>
        <x:v>4.372</x:v>
      </x:c>
      <x:c r="K27" s="11"/>
      <x:c r="L27" s="8" t="n">
        <x:f>'取值明细'!D148</x:f>
        <x:v>2.845</x:v>
      </x:c>
      <x:c r="M27" s="2" t="str">
        <x:v>曲线近似值；房地产空缺</x:v>
      </x:c>
    </x:row>
    <x:row r="28" ht="24" customHeight="1">
      <x:c r="A28" s="9" t="str">
        <x:v>2013Q3</x:v>
      </x:c>
      <x:c r="B28" s="10" t="n">
        <x:f>'取值明细'!D149</x:f>
        <x:v>2.517</x:v>
      </x:c>
      <x:c r="C28" s="10" t="n">
        <x:f>'取值明细'!D150</x:f>
        <x:v>7.567</x:v>
      </x:c>
      <x:c r="D28" s="10" t="n">
        <x:f>'取值明细'!D151</x:f>
        <x:v>6.842</x:v>
      </x:c>
      <x:c r="E28" s="10" t="n">
        <x:f>'取值明细'!D152</x:f>
        <x:v>10.957</x:v>
      </x:c>
      <x:c r="F28" s="10" t="n">
        <x:f>'取值明细'!D153</x:f>
        <x:v>4.812</x:v>
      </x:c>
      <x:c r="G28" s="10" t="n">
        <x:f>'取值明细'!D154</x:f>
        <x:v>8.843</x:v>
      </x:c>
      <x:c r="H28" s="10" t="n">
        <x:f>'取值明细'!D155</x:f>
        <x:v>6.643</x:v>
      </x:c>
      <x:c r="I28" s="10" t="n">
        <x:f>'取值明细'!D156</x:f>
        <x:v>9.155</x:v>
      </x:c>
      <x:c r="J28" s="10" t="n">
        <x:f>'取值明细'!D157</x:f>
        <x:v>3.44</x:v>
      </x:c>
      <x:c r="K28" s="11"/>
      <x:c r="L28" s="10" t="n">
        <x:f>'取值明细'!D158</x:f>
        <x:v>4.088</x:v>
      </x:c>
      <x:c r="M28" s="9" t="str">
        <x:v>曲线近似值；房地产空缺</x:v>
      </x:c>
    </x:row>
    <x:row r="29" ht="24" customHeight="1">
      <x:c r="A29" s="2" t="str">
        <x:v>2013Q4</x:v>
      </x:c>
      <x:c r="B29" s="8" t="n">
        <x:f>'取值明细'!D159</x:f>
        <x:v>2.358</x:v>
      </x:c>
      <x:c r="C29" s="8" t="n">
        <x:f>'取值明细'!D160</x:f>
        <x:v>7.001</x:v>
      </x:c>
      <x:c r="D29" s="8" t="n">
        <x:f>'取值明细'!D161</x:f>
        <x:v>7.291</x:v>
      </x:c>
      <x:c r="E29" s="8" t="n">
        <x:f>'取值明细'!D162</x:f>
        <x:v>11.244</x:v>
      </x:c>
      <x:c r="F29" s="8" t="n">
        <x:f>'取值明细'!D163</x:f>
        <x:v>5.59</x:v>
      </x:c>
      <x:c r="G29" s="8" t="n">
        <x:f>'取值明细'!D164</x:f>
        <x:v>8.857</x:v>
      </x:c>
      <x:c r="H29" s="8" t="n">
        <x:f>'取值明细'!D165</x:f>
        <x:v>6.71</x:v>
      </x:c>
      <x:c r="I29" s="8" t="n">
        <x:f>'取值明细'!D166</x:f>
        <x:v>11.124</x:v>
      </x:c>
      <x:c r="J29" s="8" t="n">
        <x:f>'取值明细'!D167</x:f>
        <x:v>3.804</x:v>
      </x:c>
      <x:c r="K29" s="11"/>
      <x:c r="L29" s="8" t="n">
        <x:f>'取值明细'!D168</x:f>
        <x:v>2.466</x:v>
      </x:c>
      <x:c r="M29" s="2" t="str">
        <x:v>曲线近似值；房地产空缺</x:v>
      </x:c>
    </x:row>
    <x:row r="30" ht="24" customHeight="1">
      <x:c r="A30" s="9" t="str">
        <x:v>2014Q1</x:v>
      </x:c>
      <x:c r="B30" s="10" t="n">
        <x:f>'取值明细'!D169</x:f>
        <x:v>2.86</x:v>
      </x:c>
      <x:c r="C30" s="10" t="n">
        <x:f>'取值明细'!D170</x:f>
        <x:v>6.167</x:v>
      </x:c>
      <x:c r="D30" s="10" t="n">
        <x:f>'取值明细'!D171</x:f>
        <x:v>6.258</x:v>
      </x:c>
      <x:c r="E30" s="10" t="n">
        <x:f>'取值明细'!D172</x:f>
        <x:v>11.793</x:v>
      </x:c>
      <x:c r="F30" s="10" t="n">
        <x:f>'取值明细'!D173</x:f>
        <x:v>5.402</x:v>
      </x:c>
      <x:c r="G30" s="10" t="n">
        <x:f>'取值明细'!D174</x:f>
        <x:v>9.741</x:v>
      </x:c>
      <x:c r="H30" s="10" t="n">
        <x:f>'取值明细'!D175</x:f>
        <x:v>5.981</x:v>
      </x:c>
      <x:c r="I30" s="10" t="n">
        <x:f>'取值明细'!D176</x:f>
        <x:v>9.504</x:v>
      </x:c>
      <x:c r="J30" s="10" t="n">
        <x:f>'取值明细'!D177</x:f>
        <x:v>4.516</x:v>
      </x:c>
      <x:c r="K30" s="11"/>
      <x:c r="L30" s="10" t="n">
        <x:f>'取值明细'!D178</x:f>
        <x:v>3.682</x:v>
      </x:c>
      <x:c r="M30" s="9" t="str">
        <x:v>曲线近似值；房地产空缺</x:v>
      </x:c>
    </x:row>
    <x:row r="31" ht="24" customHeight="1">
      <x:c r="A31" s="2" t="str">
        <x:v>2014Q2</x:v>
      </x:c>
      <x:c r="B31" s="8" t="n">
        <x:f>'取值明细'!D179</x:f>
        <x:v>2.801</x:v>
      </x:c>
      <x:c r="C31" s="8" t="n">
        <x:f>'取值明细'!D180</x:f>
        <x:v>7.147</x:v>
      </x:c>
      <x:c r="D31" s="8" t="n">
        <x:f>'取值明细'!D181</x:f>
        <x:v>7.19</x:v>
      </x:c>
      <x:c r="E31" s="8" t="n">
        <x:f>'取值明细'!D182</x:f>
        <x:v>12.227</x:v>
      </x:c>
      <x:c r="F31" s="8" t="n">
        <x:f>'取值明细'!D183</x:f>
        <x:v>5.396</x:v>
      </x:c>
      <x:c r="G31" s="8" t="n">
        <x:f>'取值明细'!D184</x:f>
        <x:v>10.873</x:v>
      </x:c>
      <x:c r="H31" s="8" t="n">
        <x:f>'取值明细'!D185</x:f>
        <x:v>7.309</x:v>
      </x:c>
      <x:c r="I31" s="8" t="n">
        <x:f>'取值明细'!D186</x:f>
        <x:v>9.574</x:v>
      </x:c>
      <x:c r="J31" s="8" t="n">
        <x:f>'取值明细'!D187</x:f>
        <x:v>4.696</x:v>
      </x:c>
      <x:c r="K31" s="11"/>
      <x:c r="L31" s="8" t="n">
        <x:f>'取值明细'!D188</x:f>
        <x:v>2.865</x:v>
      </x:c>
      <x:c r="M31" s="2" t="str">
        <x:v>曲线近似值；房地产空缺</x:v>
      </x:c>
    </x:row>
    <x:row r="32" ht="24" customHeight="1">
      <x:c r="A32" s="9" t="str">
        <x:v>2014Q3</x:v>
      </x:c>
      <x:c r="B32" s="10" t="n">
        <x:f>'取值明细'!D189</x:f>
        <x:v>2.788</x:v>
      </x:c>
      <x:c r="C32" s="10" t="n">
        <x:f>'取值明细'!D190</x:f>
        <x:v>7.284</x:v>
      </x:c>
      <x:c r="D32" s="10" t="n">
        <x:f>'取值明细'!D191</x:f>
        <x:v>7.267</x:v>
      </x:c>
      <x:c r="E32" s="10" t="n">
        <x:f>'取值明细'!D192</x:f>
        <x:v>12.173</x:v>
      </x:c>
      <x:c r="F32" s="10" t="n">
        <x:f>'取值明细'!D193</x:f>
        <x:v>5.463</x:v>
      </x:c>
      <x:c r="G32" s="10" t="n">
        <x:f>'取值明细'!D194</x:f>
        <x:v>10.767</x:v>
      </x:c>
      <x:c r="H32" s="10" t="n">
        <x:f>'取值明细'!D195</x:f>
        <x:v>7.473</x:v>
      </x:c>
      <x:c r="I32" s="10" t="n">
        <x:f>'取值明细'!D196</x:f>
        <x:v>9.53</x:v>
      </x:c>
      <x:c r="J32" s="10" t="n">
        <x:f>'取值明细'!D197</x:f>
        <x:v>4.179</x:v>
      </x:c>
      <x:c r="K32" s="11"/>
      <x:c r="L32" s="10" t="n">
        <x:f>'取值明细'!D198</x:f>
        <x:v>4.264</x:v>
      </x:c>
      <x:c r="M32" s="9" t="str">
        <x:v>曲线近似值；房地产空缺</x:v>
      </x:c>
    </x:row>
    <x:row r="33" ht="24" customHeight="1">
      <x:c r="A33" s="2" t="str">
        <x:v>2014Q4</x:v>
      </x:c>
      <x:c r="B33" s="8" t="n">
        <x:f>'取值明细'!D199</x:f>
        <x:v>2.242</x:v>
      </x:c>
      <x:c r="C33" s="8" t="n">
        <x:f>'取值明细'!D200</x:f>
        <x:v>7.848</x:v>
      </x:c>
      <x:c r="D33" s="8" t="n">
        <x:f>'取值明细'!D201</x:f>
        <x:v>7.258</x:v>
      </x:c>
      <x:c r="E33" s="8" t="n">
        <x:f>'取值明细'!D202</x:f>
        <x:v>8.578</x:v>
      </x:c>
      <x:c r="F33" s="8" t="n">
        <x:f>'取值明细'!D203</x:f>
        <x:v>5.332</x:v>
      </x:c>
      <x:c r="G33" s="8" t="n">
        <x:f>'取值明细'!D204</x:f>
        <x:v>11.228</x:v>
      </x:c>
      <x:c r="H33" s="8" t="n">
        <x:f>'取值明细'!D205</x:f>
        <x:v>7.842</x:v>
      </x:c>
      <x:c r="I33" s="8" t="n">
        <x:f>'取值明细'!D206</x:f>
        <x:v>12.428</x:v>
      </x:c>
      <x:c r="J33" s="8" t="n">
        <x:f>'取值明细'!D207</x:f>
        <x:v>3.997</x:v>
      </x:c>
      <x:c r="K33" s="11"/>
      <x:c r="L33" s="8" t="n">
        <x:f>'取值明细'!D208</x:f>
        <x:v>2.774</x:v>
      </x:c>
      <x:c r="M33" s="2" t="str">
        <x:v>曲线近似值；房地产空缺</x:v>
      </x:c>
    </x:row>
    <x:row r="34" ht="24" customHeight="1">
      <x:c r="A34" s="9" t="str">
        <x:v>2015Q1</x:v>
      </x:c>
      <x:c r="B34" s="10" t="n">
        <x:f>'取值明细'!D209</x:f>
        <x:v>2.911</x:v>
      </x:c>
      <x:c r="C34" s="10" t="n">
        <x:f>'取值明细'!D210</x:f>
        <x:v>6.607</x:v>
      </x:c>
      <x:c r="D34" s="10" t="n">
        <x:f>'取值明细'!D211</x:f>
        <x:v>6.615</x:v>
      </x:c>
      <x:c r="E34" s="10" t="n">
        <x:f>'取值明细'!D212</x:f>
        <x:v>4.931</x:v>
      </x:c>
      <x:c r="F34" s="10" t="n">
        <x:f>'取值明细'!D213</x:f>
        <x:v>6.181</x:v>
      </x:c>
      <x:c r="G34" s="10" t="n">
        <x:f>'取值明细'!D214</x:f>
        <x:v>11.997</x:v>
      </x:c>
      <x:c r="H34" s="10" t="n">
        <x:f>'取值明细'!D215</x:f>
        <x:v>6.264</x:v>
      </x:c>
      <x:c r="I34" s="10" t="n">
        <x:f>'取值明细'!D216</x:f>
        <x:v>10.149</x:v>
      </x:c>
      <x:c r="J34" s="10" t="n">
        <x:f>'取值明细'!D217</x:f>
        <x:v>4.608</x:v>
      </x:c>
      <x:c r="K34" s="11"/>
      <x:c r="L34" s="10" t="n">
        <x:f>'取值明细'!D218</x:f>
        <x:v>3.766</x:v>
      </x:c>
      <x:c r="M34" s="9" t="str">
        <x:v>曲线近似值；房地产空缺</x:v>
      </x:c>
    </x:row>
    <x:row r="35" ht="24" customHeight="1">
      <x:c r="A35" s="2" t="str">
        <x:v>2015Q2</x:v>
      </x:c>
      <x:c r="B35" s="8" t="n">
        <x:f>'取值明细'!D219</x:f>
        <x:v>3.248</x:v>
      </x:c>
      <x:c r="C35" s="8" t="n">
        <x:f>'取值明细'!D220</x:f>
        <x:v>7.562</x:v>
      </x:c>
      <x:c r="D35" s="8" t="n">
        <x:f>'取值明细'!D221</x:f>
        <x:v>6.997</x:v>
      </x:c>
      <x:c r="E35" s="8" t="n">
        <x:f>'取值明细'!D222</x:f>
        <x:v>5.227</x:v>
      </x:c>
      <x:c r="F35" s="8" t="n">
        <x:f>'取值明细'!D223</x:f>
        <x:v>6.315</x:v>
      </x:c>
      <x:c r="G35" s="8" t="n">
        <x:f>'取值明细'!D224</x:f>
        <x:v>12.562</x:v>
      </x:c>
      <x:c r="H35" s="8" t="n">
        <x:f>'取值明细'!D225</x:f>
        <x:v>7.604</x:v>
      </x:c>
      <x:c r="I35" s="8" t="n">
        <x:f>'取值明细'!D226</x:f>
        <x:v>9.466</x:v>
      </x:c>
      <x:c r="J35" s="8" t="n">
        <x:f>'取值明细'!D227</x:f>
        <x:v>5.199</x:v>
      </x:c>
      <x:c r="K35" s="11"/>
      <x:c r="L35" s="8" t="n">
        <x:f>'取值明细'!D228</x:f>
        <x:v>2.998</x:v>
      </x:c>
      <x:c r="M35" s="2" t="str">
        <x:v>曲线近似值；房地产空缺</x:v>
      </x:c>
    </x:row>
    <x:row r="36" ht="24" customHeight="1">
      <x:c r="A36" s="9" t="str">
        <x:v>2015Q3</x:v>
      </x:c>
      <x:c r="B36" s="10" t="n">
        <x:f>'取值明细'!D229</x:f>
        <x:v>3.188</x:v>
      </x:c>
      <x:c r="C36" s="10" t="n">
        <x:f>'取值明细'!D230</x:f>
        <x:v>8.273</x:v>
      </x:c>
      <x:c r="D36" s="10" t="n">
        <x:f>'取值明细'!D231</x:f>
        <x:v>7.075</x:v>
      </x:c>
      <x:c r="E36" s="10" t="n">
        <x:f>'取值明细'!D232</x:f>
        <x:v>5.046</x:v>
      </x:c>
      <x:c r="F36" s="10" t="n">
        <x:f>'取值明细'!D233</x:f>
        <x:v>5.974</x:v>
      </x:c>
      <x:c r="G36" s="10" t="n">
        <x:f>'取值明细'!D234</x:f>
        <x:v>12.445</x:v>
      </x:c>
      <x:c r="H36" s="10" t="n">
        <x:f>'取值明细'!D235</x:f>
        <x:v>7.698</x:v>
      </x:c>
      <x:c r="I36" s="10" t="n">
        <x:f>'取值明细'!D236</x:f>
        <x:v>9.844</x:v>
      </x:c>
      <x:c r="J36" s="10" t="n">
        <x:f>'取值明细'!D237</x:f>
        <x:v>3.53</x:v>
      </x:c>
      <x:c r="K36" s="11"/>
      <x:c r="L36" s="10" t="n">
        <x:f>'取值明细'!D238</x:f>
        <x:v>4.263</x:v>
      </x:c>
      <x:c r="M36" s="9" t="str">
        <x:v>曲线近似值；房地产空缺</x:v>
      </x:c>
    </x:row>
    <x:row r="37" ht="24" customHeight="1">
      <x:c r="A37" s="2" t="str">
        <x:v>2015Q4</x:v>
      </x:c>
      <x:c r="B37" s="8" t="n">
        <x:f>'取值明细'!D239</x:f>
        <x:v>2.798</x:v>
      </x:c>
      <x:c r="C37" s="8" t="n">
        <x:f>'取值明细'!D240</x:f>
        <x:v>8.684</x:v>
      </x:c>
      <x:c r="D37" s="8" t="n">
        <x:f>'取值明细'!D241</x:f>
        <x:v>7.065</x:v>
      </x:c>
      <x:c r="E37" s="8" t="n">
        <x:f>'取值明细'!D242</x:f>
        <x:v>2.271</x:v>
      </x:c>
      <x:c r="F37" s="8" t="n">
        <x:f>'取值明细'!D243</x:f>
        <x:v>5.531</x:v>
      </x:c>
      <x:c r="G37" s="8" t="n">
        <x:f>'取值明细'!D244</x:f>
        <x:v>12.11</x:v>
      </x:c>
      <x:c r="H37" s="8" t="n">
        <x:f>'取值明细'!D245</x:f>
        <x:v>7.462</x:v>
      </x:c>
      <x:c r="I37" s="8" t="n">
        <x:f>'取值明细'!D246</x:f>
        <x:v>12.709</x:v>
      </x:c>
      <x:c r="J37" s="8" t="n">
        <x:f>'取值明细'!D247</x:f>
        <x:v>3.344</x:v>
      </x:c>
      <x:c r="K37" s="11"/>
      <x:c r="L37" s="8" t="n">
        <x:f>'取值明细'!D248</x:f>
        <x:v>2.642</x:v>
      </x:c>
      <x:c r="M37" s="2" t="str">
        <x:v>曲线近似值；房地产空缺</x:v>
      </x:c>
    </x:row>
    <x:row r="38" ht="24" customHeight="1">
      <x:c r="A38" s="9" t="str">
        <x:v>2016Q1</x:v>
      </x:c>
      <x:c r="B38" s="10" t="n">
        <x:f>'取值明细'!D249</x:f>
        <x:v>3.189</x:v>
      </x:c>
      <x:c r="C38" s="10" t="n">
        <x:f>'取值明细'!D250</x:f>
        <x:v>7.579</x:v>
      </x:c>
      <x:c r="D38" s="10" t="n">
        <x:f>'取值明细'!D251</x:f>
        <x:v>5.763</x:v>
      </x:c>
      <x:c r="E38" s="10" t="n">
        <x:f>'取值明细'!D252</x:f>
        <x:v>-0.244</x:v>
      </x:c>
      <x:c r="F38" s="10" t="n">
        <x:f>'取值明细'!D253</x:f>
        <x:v>5.198</x:v>
      </x:c>
      <x:c r="G38" s="10" t="n">
        <x:f>'取值明细'!D254</x:f>
        <x:v>12.455</x:v>
      </x:c>
      <x:c r="H38" s="10" t="n">
        <x:f>'取值明细'!D255</x:f>
        <x:v>6.193</x:v>
      </x:c>
      <x:c r="I38" s="10" t="n">
        <x:f>'取值明细'!D256</x:f>
        <x:v>9.539</x:v>
      </x:c>
      <x:c r="J38" s="10" t="n">
        <x:f>'取值明细'!D257</x:f>
        <x:v>3.872</x:v>
      </x:c>
      <x:c r="K38" s="11"/>
      <x:c r="L38" s="10" t="n">
        <x:f>'取值明细'!D258</x:f>
        <x:v>3.639</x:v>
      </x:c>
      <x:c r="M38" s="9" t="str">
        <x:v>曲线近似值；房地产空缺</x:v>
      </x:c>
    </x:row>
    <x:row r="39" ht="24" customHeight="1">
      <x:c r="A39" s="2" t="str">
        <x:v>2016Q2</x:v>
      </x:c>
      <x:c r="B39" s="8" t="n">
        <x:f>'取值明细'!D259</x:f>
        <x:v>3.017</x:v>
      </x:c>
      <x:c r="C39" s="8" t="n">
        <x:f>'取值明细'!D260</x:f>
        <x:v>8.414</x:v>
      </x:c>
      <x:c r="D39" s="8" t="n">
        <x:f>'取值明细'!D261</x:f>
        <x:v>6.35</x:v>
      </x:c>
      <x:c r="E39" s="8" t="n">
        <x:f>'取值明细'!D262</x:f>
        <x:v>0.748</x:v>
      </x:c>
      <x:c r="F39" s="8" t="n">
        <x:f>'取值明细'!D263</x:f>
        <x:v>5.671</x:v>
      </x:c>
      <x:c r="G39" s="8" t="n">
        <x:f>'取值明细'!D264</x:f>
        <x:v>13.347</x:v>
      </x:c>
      <x:c r="H39" s="8" t="n">
        <x:f>'取值明细'!D265</x:f>
        <x:v>7.34</x:v>
      </x:c>
      <x:c r="I39" s="8" t="n">
        <x:f>'取值明细'!D266</x:f>
        <x:v>9.799</x:v>
      </x:c>
      <x:c r="J39" s="8" t="n">
        <x:f>'取值明细'!D267</x:f>
        <x:v>4.783</x:v>
      </x:c>
      <x:c r="K39" s="11"/>
      <x:c r="L39" s="8" t="n">
        <x:f>'取值明细'!D268</x:f>
        <x:v>3.17</x:v>
      </x:c>
      <x:c r="M39" s="2" t="str">
        <x:v>曲线近似值；房地产空缺</x:v>
      </x:c>
    </x:row>
    <x:row r="40" ht="24" customHeight="1">
      <x:c r="A40" s="9" t="str">
        <x:v>2016Q3</x:v>
      </x:c>
      <x:c r="B40" s="10" t="n">
        <x:f>'取值明细'!D269</x:f>
        <x:v>3.08</x:v>
      </x:c>
      <x:c r="C40" s="10" t="n">
        <x:f>'取值明细'!D270</x:f>
        <x:v>8.258</x:v>
      </x:c>
      <x:c r="D40" s="10" t="n">
        <x:f>'取值明细'!D271</x:f>
        <x:v>6.841</x:v>
      </x:c>
      <x:c r="E40" s="10" t="n">
        <x:f>'取值明细'!D272</x:f>
        <x:v>1.564</x:v>
      </x:c>
      <x:c r="F40" s="10" t="n">
        <x:f>'取值明细'!D273</x:f>
        <x:v>6.505</x:v>
      </x:c>
      <x:c r="G40" s="10" t="n">
        <x:f>'取值明细'!D274</x:f>
        <x:v>13.003</x:v>
      </x:c>
      <x:c r="H40" s="10" t="n">
        <x:f>'取值明细'!D275</x:f>
        <x:v>7.985</x:v>
      </x:c>
      <x:c r="I40" s="10" t="n">
        <x:f>'取值明细'!D276</x:f>
        <x:v>11.136</x:v>
      </x:c>
      <x:c r="J40" s="10" t="n">
        <x:f>'取值明细'!D277</x:f>
        <x:v>3.671</x:v>
      </x:c>
      <x:c r="K40" s="10" t="n">
        <x:f>'取值明细'!D278</x:f>
        <x:v>2.281</x:v>
      </x:c>
      <x:c r="L40" s="10" t="n">
        <x:f>'取值明细'!D279</x:f>
        <x:v>4.836</x:v>
      </x:c>
      <x:c r="M40" s="9" t="str">
        <x:v>曲线近似值</x:v>
      </x:c>
    </x:row>
    <x:row r="41" ht="24" customHeight="1">
      <x:c r="A41" s="2" t="str">
        <x:v>2016Q4</x:v>
      </x:c>
      <x:c r="B41" s="8" t="n">
        <x:f>'取值明细'!D280</x:f>
        <x:v>2.792</x:v>
      </x:c>
      <x:c r="C41" s="8" t="n">
        <x:f>'取值明细'!D281</x:f>
        <x:v>8.133</x:v>
      </x:c>
      <x:c r="D41" s="8" t="n">
        <x:f>'取值明细'!D282</x:f>
        <x:v>6.571</x:v>
      </x:c>
      <x:c r="E41" s="8" t="n">
        <x:f>'取值明细'!D283</x:f>
        <x:v>2.008</x:v>
      </x:c>
      <x:c r="F41" s="8" t="n">
        <x:f>'取值明细'!D284</x:f>
        <x:v>6.116</x:v>
      </x:c>
      <x:c r="G41" s="8" t="n">
        <x:f>'取值明细'!D285</x:f>
        <x:v>12.444</x:v>
      </x:c>
      <x:c r="H41" s="8" t="n">
        <x:f>'取值明细'!D286</x:f>
        <x:v>7.089</x:v>
      </x:c>
      <x:c r="I41" s="8" t="n">
        <x:f>'取值明细'!D287</x:f>
        <x:v>13.717</x:v>
      </x:c>
      <x:c r="J41" s="8" t="n">
        <x:f>'取值明细'!D288</x:f>
        <x:v>3.396</x:v>
      </x:c>
      <x:c r="K41" s="8" t="n">
        <x:f>'取值明细'!D289</x:f>
        <x:v>2.555</x:v>
      </x:c>
      <x:c r="L41" s="8" t="n">
        <x:f>'取值明细'!D290</x:f>
        <x:v>2.808</x:v>
      </x:c>
      <x:c r="M41" s="2" t="str">
        <x:v>曲线近似值</x:v>
      </x:c>
    </x:row>
    <x:row r="42" ht="24" customHeight="1">
      <x:c r="A42" s="9" t="str">
        <x:v>2017Q1</x:v>
      </x:c>
      <x:c r="B42" s="10" t="n">
        <x:f>'取值明细'!D291</x:f>
        <x:v>3.023</x:v>
      </x:c>
      <x:c r="C42" s="10" t="n">
        <x:f>'取值明细'!D292</x:f>
        <x:v>7.979</x:v>
      </x:c>
      <x:c r="D42" s="10" t="n">
        <x:f>'取值明细'!D293</x:f>
        <x:v>6.024</x:v>
      </x:c>
      <x:c r="E42" s="10" t="n">
        <x:f>'取值明细'!D294</x:f>
        <x:v>3.097</x:v>
      </x:c>
      <x:c r="F42" s="10" t="n">
        <x:f>'取值明细'!D295</x:f>
        <x:v>6.702</x:v>
      </x:c>
      <x:c r="G42" s="10" t="n">
        <x:f>'取值明细'!D296</x:f>
        <x:v>13.263</x:v>
      </x:c>
      <x:c r="H42" s="10" t="n">
        <x:f>'取值明细'!D297</x:f>
        <x:v>6.277</x:v>
      </x:c>
      <x:c r="I42" s="10" t="n">
        <x:f>'取值明细'!D298</x:f>
        <x:v>11.472</x:v>
      </x:c>
      <x:c r="J42" s="10" t="n">
        <x:f>'取值明细'!D299</x:f>
        <x:v>4.746</x:v>
      </x:c>
      <x:c r="K42" s="10" t="n">
        <x:f>'取值明细'!D300</x:f>
        <x:v>2.233</x:v>
      </x:c>
      <x:c r="L42" s="10" t="n">
        <x:f>'取值明细'!D301</x:f>
        <x:v>3.698</x:v>
      </x:c>
      <x:c r="M42" s="9" t="str">
        <x:v>曲线近似值</x:v>
      </x:c>
    </x:row>
    <x:row r="43" ht="24" customHeight="1">
      <x:c r="A43" s="2" t="str">
        <x:v>2017Q2</x:v>
      </x:c>
      <x:c r="B43" s="8" t="n">
        <x:f>'取值明细'!D302</x:f>
        <x:v>3.197</x:v>
      </x:c>
      <x:c r="C43" s="8" t="n">
        <x:f>'取值明细'!D303</x:f>
        <x:v>8.722</x:v>
      </x:c>
      <x:c r="D43" s="8" t="n">
        <x:f>'取值明细'!D304</x:f>
        <x:v>6.541</x:v>
      </x:c>
      <x:c r="E43" s="8" t="n">
        <x:f>'取值明细'!D305</x:f>
        <x:v>2.974</x:v>
      </x:c>
      <x:c r="F43" s="8" t="n">
        <x:f>'取值明细'!D306</x:f>
        <x:v>6.903</x:v>
      </x:c>
      <x:c r="G43" s="8" t="n">
        <x:f>'取值明细'!D307</x:f>
        <x:v>14.015</x:v>
      </x:c>
      <x:c r="H43" s="8" t="n">
        <x:f>'取值明细'!D308</x:f>
        <x:v>7.989</x:v>
      </x:c>
      <x:c r="I43" s="8" t="n">
        <x:f>'取值明细'!D309</x:f>
        <x:v>11.769</x:v>
      </x:c>
      <x:c r="J43" s="8" t="n">
        <x:f>'取值明细'!D310</x:f>
        <x:v>3.666</x:v>
      </x:c>
      <x:c r="K43" s="8" t="n">
        <x:f>'取值明细'!D311</x:f>
        <x:v>2.44</x:v>
      </x:c>
      <x:c r="L43" s="8" t="n">
        <x:f>'取值明细'!D312</x:f>
        <x:v>3.755</x:v>
      </x:c>
      <x:c r="M43" s="2" t="str">
        <x:v>曲线近似值</x:v>
      </x:c>
    </x:row>
    <x:row r="44" ht="24" customHeight="1">
      <x:c r="A44" s="9" t="str">
        <x:v>2017Q3</x:v>
      </x:c>
      <x:c r="B44" s="10" t="n">
        <x:f>'取值明细'!D313</x:f>
        <x:v>3.076</x:v>
      </x:c>
      <x:c r="C44" s="10" t="n">
        <x:f>'取值明细'!D314</x:f>
        <x:v>8.71</x:v>
      </x:c>
      <x:c r="D44" s="10" t="n">
        <x:f>'取值明细'!D315</x:f>
        <x:v>6.514</x:v>
      </x:c>
      <x:c r="E44" s="10" t="n">
        <x:f>'取值明细'!D316</x:f>
        <x:v>3.96</x:v>
      </x:c>
      <x:c r="F44" s="10" t="n">
        <x:f>'取值明细'!D317</x:f>
        <x:v>6.049</x:v>
      </x:c>
      <x:c r="G44" s="10" t="n">
        <x:f>'取值明细'!D318</x:f>
        <x:v>13.923</x:v>
      </x:c>
      <x:c r="H44" s="10" t="n">
        <x:f>'取值明细'!D319</x:f>
        <x:v>7.98</x:v>
      </x:c>
      <x:c r="I44" s="10" t="n">
        <x:f>'取值明细'!D320</x:f>
        <x:v>13.413</x:v>
      </x:c>
      <x:c r="J44" s="10" t="n">
        <x:f>'取值明细'!D321</x:f>
        <x:v>3.246</x:v>
      </x:c>
      <x:c r="K44" s="10" t="n">
        <x:f>'取值明细'!D322</x:f>
        <x:v>2.246</x:v>
      </x:c>
      <x:c r="L44" s="10" t="n">
        <x:f>'取值明细'!D323</x:f>
        <x:v>4.635</x:v>
      </x:c>
      <x:c r="M44" s="9" t="str">
        <x:v>曲线近似值</x:v>
      </x:c>
    </x:row>
    <x:row r="45" ht="24" customHeight="1">
      <x:c r="A45" s="2" t="str">
        <x:v>2017Q4</x:v>
      </x:c>
      <x:c r="B45" s="8" t="n">
        <x:f>'取值明细'!D324</x:f>
        <x:v>2.967</x:v>
      </x:c>
      <x:c r="C45" s="8" t="n">
        <x:f>'取值明细'!D325</x:f>
        <x:v>8.959</x:v>
      </x:c>
      <x:c r="D45" s="8" t="n">
        <x:f>'取值明细'!D326</x:f>
        <x:v>7.455</x:v>
      </x:c>
      <x:c r="E45" s="8" t="n">
        <x:f>'取值明细'!D327</x:f>
        <x:v>4.374</x:v>
      </x:c>
      <x:c r="F45" s="8" t="n">
        <x:f>'取值明细'!D328</x:f>
        <x:v>6.978</x:v>
      </x:c>
      <x:c r="G45" s="8" t="n">
        <x:f>'取值明细'!D329</x:f>
        <x:v>13.465</x:v>
      </x:c>
      <x:c r="H45" s="8" t="n">
        <x:f>'取值明细'!D330</x:f>
        <x:v>7.301</x:v>
      </x:c>
      <x:c r="I45" s="8" t="n">
        <x:f>'取值明细'!D331</x:f>
        <x:v>16.714</x:v>
      </x:c>
      <x:c r="J45" s="8" t="n">
        <x:f>'取值明细'!D332</x:f>
        <x:v>3.436</x:v>
      </x:c>
      <x:c r="K45" s="8" t="n">
        <x:f>'取值明细'!D333</x:f>
        <x:v>2.289</x:v>
      </x:c>
      <x:c r="L45" s="8" t="n">
        <x:f>'取值明细'!D334</x:f>
        <x:v>3.154</x:v>
      </x:c>
      <x:c r="M45" s="2" t="str">
        <x:v>曲线近似值</x:v>
      </x:c>
    </x:row>
    <x:row r="46" ht="24" customHeight="1">
      <x:c r="A46" s="9" t="str">
        <x:v>2018Q1</x:v>
      </x:c>
      <x:c r="B46" s="10" t="n">
        <x:f>'取值明细'!D335</x:f>
        <x:v>3.934</x:v>
      </x:c>
      <x:c r="C46" s="10" t="n">
        <x:f>'取值明细'!D336</x:f>
        <x:v>8.557</x:v>
      </x:c>
      <x:c r="D46" s="10" t="n">
        <x:f>'取值明细'!D337</x:f>
        <x:v>6.48</x:v>
      </x:c>
      <x:c r="E46" s="10" t="n">
        <x:f>'取值明细'!D338</x:f>
        <x:v>6.069</x:v>
      </x:c>
      <x:c r="F46" s="10" t="n">
        <x:f>'取值明细'!D339</x:f>
        <x:v>8.671</x:v>
      </x:c>
      <x:c r="G46" s="10" t="n">
        <x:f>'取值明细'!D340</x:f>
        <x:v>15.61</x:v>
      </x:c>
      <x:c r="H46" s="10" t="n">
        <x:f>'取值明细'!D341</x:f>
        <x:v>7.86</x:v>
      </x:c>
      <x:c r="I46" s="10" t="n">
        <x:f>'取值明细'!D342</x:f>
        <x:v>15.683</x:v>
      </x:c>
      <x:c r="J46" s="10" t="n">
        <x:f>'取值明细'!D343</x:f>
        <x:v>3.347</x:v>
      </x:c>
      <x:c r="K46" s="10" t="n">
        <x:f>'取值明细'!D344</x:f>
        <x:v>2.232</x:v>
      </x:c>
      <x:c r="L46" s="10" t="n">
        <x:f>'取值明细'!D345</x:f>
        <x:v>4.379</x:v>
      </x:c>
      <x:c r="M46" s="9" t="str">
        <x:v>曲线近似值</x:v>
      </x:c>
    </x:row>
    <x:row r="47" ht="24" customHeight="1">
      <x:c r="A47" s="2" t="str">
        <x:v>2018Q2</x:v>
      </x:c>
      <x:c r="B47" s="8" t="n">
        <x:f>'取值明细'!D346</x:f>
        <x:v>3.798</x:v>
      </x:c>
      <x:c r="C47" s="8" t="n">
        <x:f>'取值明细'!D347</x:f>
        <x:v>7.97</x:v>
      </x:c>
      <x:c r="D47" s="8" t="n">
        <x:f>'取值明细'!D348</x:f>
        <x:v>7.436</x:v>
      </x:c>
      <x:c r="E47" s="8" t="n">
        <x:f>'取值明细'!D349</x:f>
        <x:v>6.902</x:v>
      </x:c>
      <x:c r="F47" s="8" t="n">
        <x:f>'取值明细'!D350</x:f>
        <x:v>8.673</x:v>
      </x:c>
      <x:c r="G47" s="8" t="n">
        <x:f>'取值明细'!D351</x:f>
        <x:v>16.27</x:v>
      </x:c>
      <x:c r="H47" s="8" t="n">
        <x:f>'取值明细'!D352</x:f>
        <x:v>9.635</x:v>
      </x:c>
      <x:c r="I47" s="8" t="n">
        <x:f>'取值明细'!D353</x:f>
        <x:v>14.713</x:v>
      </x:c>
      <x:c r="J47" s="8" t="n">
        <x:f>'取值明细'!D354</x:f>
        <x:v>4.71</x:v>
      </x:c>
      <x:c r="K47" s="8" t="n">
        <x:f>'取值明细'!D355</x:f>
        <x:v>2.32</x:v>
      </x:c>
      <x:c r="L47" s="8" t="n">
        <x:f>'取值明细'!D356</x:f>
        <x:v>3.633</x:v>
      </x:c>
      <x:c r="M47" s="2" t="str">
        <x:v>曲线近似值</x:v>
      </x:c>
    </x:row>
    <x:row r="48" ht="24" customHeight="1">
      <x:c r="A48" s="9" t="str">
        <x:v>2018Q3</x:v>
      </x:c>
      <x:c r="B48" s="10" t="n">
        <x:f>'取值明细'!D357</x:f>
        <x:v>2.125</x:v>
      </x:c>
      <x:c r="C48" s="10" t="n">
        <x:f>'取值明细'!D358</x:f>
        <x:v>10.515</x:v>
      </x:c>
      <x:c r="D48" s="10" t="n">
        <x:f>'取值明细'!D359</x:f>
        <x:v>7.917</x:v>
      </x:c>
      <x:c r="E48" s="10" t="n">
        <x:f>'取值明细'!D360</x:f>
        <x:v>8.591</x:v>
      </x:c>
      <x:c r="F48" s="10" t="n">
        <x:f>'取值明细'!D361</x:f>
        <x:v>8.734</x:v>
      </x:c>
      <x:c r="G48" s="10" t="n">
        <x:f>'取值明细'!D362</x:f>
        <x:v>15.705</x:v>
      </x:c>
      <x:c r="H48" s="10" t="n">
        <x:f>'取值明细'!D363</x:f>
        <x:v>9.326</x:v>
      </x:c>
      <x:c r="I48" s="10" t="n">
        <x:f>'取值明细'!D364</x:f>
        <x:v>17.633</x:v>
      </x:c>
      <x:c r="J48" s="10" t="n">
        <x:f>'取值明细'!D365</x:f>
        <x:v>6.103</x:v>
      </x:c>
      <x:c r="K48" s="10" t="n">
        <x:f>'取值明细'!D366</x:f>
        <x:v>2.335</x:v>
      </x:c>
      <x:c r="L48" s="10" t="n">
        <x:f>'取值明细'!D367</x:f>
        <x:v>5.154</x:v>
      </x:c>
      <x:c r="M48" s="9" t="str">
        <x:v>曲线近似值</x:v>
      </x:c>
    </x:row>
    <x:row r="49" ht="24" customHeight="1">
      <x:c r="A49" s="2" t="str">
        <x:v>2018Q4</x:v>
      </x:c>
      <x:c r="B49" s="8" t="n">
        <x:f>'取值明细'!D368</x:f>
        <x:v>2.294</x:v>
      </x:c>
      <x:c r="C49" s="8" t="n">
        <x:f>'取值明细'!D369</x:f>
        <x:v>9.941</x:v>
      </x:c>
      <x:c r="D49" s="8" t="n">
        <x:f>'取值明细'!D370</x:f>
        <x:v>7.555</x:v>
      </x:c>
      <x:c r="E49" s="8" t="n">
        <x:f>'取值明细'!D371</x:f>
        <x:v>7.848</x:v>
      </x:c>
      <x:c r="F49" s="8" t="n">
        <x:f>'取值明细'!D372</x:f>
        <x:v>7.891</x:v>
      </x:c>
      <x:c r="G49" s="8" t="n">
        <x:f>'取值明细'!D373</x:f>
        <x:v>15.396</x:v>
      </x:c>
      <x:c r="H49" s="8" t="n">
        <x:f>'取值明细'!D374</x:f>
        <x:v>9.193</x:v>
      </x:c>
      <x:c r="I49" s="8" t="n">
        <x:f>'取值明细'!D375</x:f>
        <x:v>18.962</x:v>
      </x:c>
      <x:c r="J49" s="8" t="n">
        <x:f>'取值明细'!D376</x:f>
        <x:v>4.924</x:v>
      </x:c>
      <x:c r="K49" s="8" t="n">
        <x:f>'取值明细'!D377</x:f>
        <x:v>2.38</x:v>
      </x:c>
      <x:c r="L49" s="8" t="n">
        <x:f>'取值明细'!D378</x:f>
        <x:v>2.718</x:v>
      </x:c>
      <x:c r="M49" s="2" t="str">
        <x:v>曲线近似值</x:v>
      </x:c>
    </x:row>
    <x:row r="50" ht="24" customHeight="1">
      <x:c r="A50" s="9" t="str">
        <x:v>2019Q1</x:v>
      </x:c>
      <x:c r="B50" s="10" t="n">
        <x:f>'取值明细'!D379</x:f>
        <x:v>1.903</x:v>
      </x:c>
      <x:c r="C50" s="10" t="n">
        <x:f>'取值明细'!D380</x:f>
        <x:v>9.106</x:v>
      </x:c>
      <x:c r="D50" s="10" t="n">
        <x:f>'取值明细'!D381</x:f>
        <x:v>6.84</x:v>
      </x:c>
      <x:c r="E50" s="10" t="n">
        <x:f>'取值明细'!D382</x:f>
        <x:v>4.374</x:v>
      </x:c>
      <x:c r="F50" s="10" t="n">
        <x:f>'取值明细'!D383</x:f>
        <x:v>9.206</x:v>
      </x:c>
      <x:c r="G50" s="10" t="n">
        <x:f>'取值明细'!D384</x:f>
        <x:v>16.612</x:v>
      </x:c>
      <x:c r="H50" s="10" t="n">
        <x:f>'取值明细'!D385</x:f>
        <x:v>8.424</x:v>
      </x:c>
      <x:c r="I50" s="10" t="n">
        <x:f>'取值明细'!D386</x:f>
        <x:v>15.352</x:v>
      </x:c>
      <x:c r="J50" s="10" t="n">
        <x:f>'取值明细'!D387</x:f>
        <x:v>4.564</x:v>
      </x:c>
      <x:c r="K50" s="10" t="n">
        <x:f>'取值明细'!D388</x:f>
        <x:v>2.366</x:v>
      </x:c>
      <x:c r="L50" s="10" t="n">
        <x:f>'取值明细'!D389</x:f>
        <x:v>4.106</x:v>
      </x:c>
      <x:c r="M50" s="9" t="str">
        <x:v>曲线近似值</x:v>
      </x:c>
    </x:row>
    <x:row r="51" ht="24" customHeight="1">
      <x:c r="A51" s="2" t="str">
        <x:v>2019Q2</x:v>
      </x:c>
      <x:c r="B51" s="8" t="n">
        <x:f>'取值明细'!D390</x:f>
        <x:v>2.181</x:v>
      </x:c>
      <x:c r="C51" s="8" t="n">
        <x:f>'取值明细'!D391</x:f>
        <x:v>10.35</x:v>
      </x:c>
      <x:c r="D51" s="8" t="n">
        <x:f>'取值明细'!D392</x:f>
        <x:v>7.689</x:v>
      </x:c>
      <x:c r="E51" s="8" t="n">
        <x:f>'取值明细'!D393</x:f>
        <x:v>6.197</x:v>
      </x:c>
      <x:c r="F51" s="8" t="n">
        <x:f>'取值明细'!D394</x:f>
        <x:v>9.252</x:v>
      </x:c>
      <x:c r="G51" s="8" t="n">
        <x:f>'取值明细'!D395</x:f>
        <x:v>17.855</x:v>
      </x:c>
      <x:c r="H51" s="8" t="n">
        <x:f>'取值明细'!D396</x:f>
        <x:v>8.67</x:v>
      </x:c>
      <x:c r="I51" s="8" t="n">
        <x:f>'取值明细'!D397</x:f>
        <x:v>16.001</x:v>
      </x:c>
      <x:c r="J51" s="8" t="n">
        <x:f>'取值明细'!D398</x:f>
        <x:v>4.227</x:v>
      </x:c>
      <x:c r="K51" s="8" t="n">
        <x:f>'取值明细'!D399</x:f>
        <x:v>2.434</x:v>
      </x:c>
      <x:c r="L51" s="8" t="n">
        <x:f>'取值明细'!D400</x:f>
        <x:v>3.446</x:v>
      </x:c>
      <x:c r="M51" s="2" t="str">
        <x:v>曲线近似值</x:v>
      </x:c>
    </x:row>
    <x:row r="52" ht="24" customHeight="1">
      <x:c r="A52" s="9" t="str">
        <x:v>2019Q3</x:v>
      </x:c>
      <x:c r="B52" s="10" t="n">
        <x:f>'取值明细'!D401</x:f>
        <x:v>2.13</x:v>
      </x:c>
      <x:c r="C52" s="10" t="n">
        <x:f>'取值明细'!D402</x:f>
        <x:v>10.94</x:v>
      </x:c>
      <x:c r="D52" s="10" t="n">
        <x:f>'取值明细'!D403</x:f>
        <x:v>8.082</x:v>
      </x:c>
      <x:c r="E52" s="10" t="n">
        <x:f>'取值明细'!D404</x:f>
        <x:v>5.345</x:v>
      </x:c>
      <x:c r="F52" s="10" t="n">
        <x:f>'取值明细'!D405</x:f>
        <x:v>8.805</x:v>
      </x:c>
      <x:c r="G52" s="10" t="n">
        <x:f>'取值明细'!D406</x:f>
        <x:v>17.174</x:v>
      </x:c>
      <x:c r="H52" s="10" t="n">
        <x:f>'取值明细'!D407</x:f>
        <x:v>9.623</x:v>
      </x:c>
      <x:c r="I52" s="10" t="n">
        <x:f>'取值明细'!D408</x:f>
        <x:v>17.347</x:v>
      </x:c>
      <x:c r="J52" s="10" t="n">
        <x:f>'取值明细'!D409</x:f>
        <x:v>4.231</x:v>
      </x:c>
      <x:c r="K52" s="10" t="n">
        <x:f>'取值明细'!D410</x:f>
        <x:v>2.478</x:v>
      </x:c>
      <x:c r="L52" s="10" t="n">
        <x:f>'取值明细'!D411</x:f>
        <x:v>5.2</x:v>
      </x:c>
      <x:c r="M52" s="9" t="str">
        <x:v>曲线近似值</x:v>
      </x:c>
    </x:row>
    <x:row r="53" ht="24" customHeight="1">
      <x:c r="A53" s="2" t="str">
        <x:v>2019Q4</x:v>
      </x:c>
      <x:c r="B53" s="8" t="n">
        <x:f>'取值明细'!D412</x:f>
        <x:v>2.511</x:v>
      </x:c>
      <x:c r="C53" s="8" t="n">
        <x:f>'取值明细'!D413</x:f>
        <x:v>10.364</x:v>
      </x:c>
      <x:c r="D53" s="8" t="n">
        <x:f>'取值明细'!D414</x:f>
        <x:v>7.69</x:v>
      </x:c>
      <x:c r="E53" s="8" t="n">
        <x:f>'取值明细'!D415</x:f>
        <x:v>4.687</x:v>
      </x:c>
      <x:c r="F53" s="8" t="n">
        <x:f>'取值明细'!D416</x:f>
        <x:v>8.663</x:v>
      </x:c>
      <x:c r="G53" s="8" t="n">
        <x:f>'取值明细'!D417</x:f>
        <x:v>16.723</x:v>
      </x:c>
      <x:c r="H53" s="8" t="n">
        <x:f>'取值明细'!D418</x:f>
        <x:v>8.358</x:v>
      </x:c>
      <x:c r="I53" s="8" t="n">
        <x:f>'取值明细'!D419</x:f>
        <x:v>20.333</x:v>
      </x:c>
      <x:c r="J53" s="8" t="n">
        <x:f>'取值明细'!D420</x:f>
        <x:v>3.67</x:v>
      </x:c>
      <x:c r="K53" s="8" t="n">
        <x:f>'取值明细'!D421</x:f>
        <x:v>2.559</x:v>
      </x:c>
      <x:c r="L53" s="8" t="n">
        <x:f>'取值明细'!D422</x:f>
        <x:v>3.194</x:v>
      </x:c>
      <x:c r="M53" s="2" t="str">
        <x:v>曲线近似值</x:v>
      </x:c>
    </x:row>
    <x:row r="54" ht="24" customHeight="1">
      <x:c r="A54" s="9" t="str">
        <x:v>2020Q1</x:v>
      </x:c>
      <x:c r="B54" s="10" t="n">
        <x:f>'取值明细'!D423</x:f>
        <x:v>1.966</x:v>
      </x:c>
      <x:c r="C54" s="10" t="n">
        <x:f>'取值明细'!D424</x:f>
        <x:v>4.241</x:v>
      </x:c>
      <x:c r="D54" s="10" t="n">
        <x:f>'取值明细'!D425</x:f>
        <x:v>7.299</x:v>
      </x:c>
      <x:c r="E54" s="10" t="n">
        <x:f>'取值明细'!D426</x:f>
        <x:v>2.892</x:v>
      </x:c>
      <x:c r="F54" s="10" t="n">
        <x:f>'取值明细'!D427</x:f>
        <x:v>5.592</x:v>
      </x:c>
      <x:c r="G54" s="10" t="n">
        <x:f>'取值明细'!D428</x:f>
        <x:v>17.413</x:v>
      </x:c>
      <x:c r="H54" s="10" t="n">
        <x:f>'取值明细'!D429</x:f>
        <x:v>5.76</x:v>
      </x:c>
      <x:c r="I54" s="10" t="n">
        <x:f>'取值明细'!D430</x:f>
        <x:v>15.989</x:v>
      </x:c>
      <x:c r="J54" s="10" t="n">
        <x:f>'取值明细'!D431</x:f>
        <x:v>3.581</x:v>
      </x:c>
      <x:c r="K54" s="10" t="n">
        <x:f>'取值明细'!D432</x:f>
        <x:v>2.275</x:v>
      </x:c>
      <x:c r="L54" s="10" t="n">
        <x:f>'取值明细'!D433</x:f>
        <x:v>4.313</x:v>
      </x:c>
      <x:c r="M54" s="9" t="str">
        <x:v>曲线近似值</x:v>
      </x:c>
    </x:row>
    <x:row r="55" ht="24" customHeight="1">
      <x:c r="A55" s="2" t="str">
        <x:v>2020Q2</x:v>
      </x:c>
      <x:c r="B55" s="8" t="n">
        <x:f>'取值明细'!D434</x:f>
        <x:v>1.779</x:v>
      </x:c>
      <x:c r="C55" s="8" t="n">
        <x:f>'取值明细'!D435</x:f>
        <x:v>3.617</x:v>
      </x:c>
      <x:c r="D55" s="8" t="n">
        <x:f>'取值明细'!D436</x:f>
        <x:v>7.295</x:v>
      </x:c>
      <x:c r="E55" s="8" t="n">
        <x:f>'取值明细'!D437</x:f>
        <x:v>-4.277</x:v>
      </x:c>
      <x:c r="F55" s="8" t="n">
        <x:f>'取值明细'!D438</x:f>
        <x:v>4.999</x:v>
      </x:c>
      <x:c r="G55" s="8" t="n">
        <x:f>'取值明细'!D439</x:f>
        <x:v>18.394</x:v>
      </x:c>
      <x:c r="H55" s="8" t="n">
        <x:f>'取值明细'!D440</x:f>
        <x:v>1.345</x:v>
      </x:c>
      <x:c r="I55" s="8" t="n">
        <x:f>'取值明细'!D441</x:f>
        <x:v>16.362</x:v>
      </x:c>
      <x:c r="J55" s="8" t="n">
        <x:f>'取值明细'!D442</x:f>
        <x:v>3.849</x:v>
      </x:c>
      <x:c r="K55" s="8" t="n">
        <x:f>'取值明细'!D443</x:f>
        <x:v>2.009</x:v>
      </x:c>
      <x:c r="L55" s="8" t="n">
        <x:f>'取值明细'!D444</x:f>
        <x:v>3.636</x:v>
      </x:c>
      <x:c r="M55" s="2" t="str">
        <x:v>曲线近似值</x:v>
      </x:c>
    </x:row>
    <x:row r="56" ht="24" customHeight="1">
      <x:c r="A56" s="9" t="str">
        <x:v>2020Q3</x:v>
      </x:c>
      <x:c r="B56" s="10" t="n">
        <x:f>'取值明细'!D445</x:f>
        <x:v>2.245</x:v>
      </x:c>
      <x:c r="C56" s="10" t="n">
        <x:f>'取值明细'!D446</x:f>
        <x:v>10.915</x:v>
      </x:c>
      <x:c r="D56" s="10" t="n">
        <x:f>'取值明细'!D447</x:f>
        <x:v>8.602</x:v>
      </x:c>
      <x:c r="E56" s="10" t="n">
        <x:f>'取值明细'!D448</x:f>
        <x:v>-0.324</x:v>
      </x:c>
      <x:c r="F56" s="10" t="n">
        <x:f>'取值明细'!D449</x:f>
        <x:v>8.525</x:v>
      </x:c>
      <x:c r="G56" s="10" t="n">
        <x:f>'取值明细'!D450</x:f>
        <x:v>19.21</x:v>
      </x:c>
      <x:c r="H56" s="10" t="n">
        <x:f>'取值明细'!D451</x:f>
        <x:v>4.628</x:v>
      </x:c>
      <x:c r="I56" s="10" t="n">
        <x:f>'取值明细'!D452</x:f>
        <x:v>18.627</x:v>
      </x:c>
      <x:c r="J56" s="10" t="n">
        <x:f>'取值明细'!D453</x:f>
        <x:v>4.517</x:v>
      </x:c>
      <x:c r="K56" s="10" t="n">
        <x:f>'取值明细'!D454</x:f>
        <x:v>2.117</x:v>
      </x:c>
      <x:c r="L56" s="10" t="n">
        <x:f>'取值明细'!D455</x:f>
        <x:v>5.214</x:v>
      </x:c>
      <x:c r="M56" s="9" t="str">
        <x:v>曲线近似值</x:v>
      </x:c>
    </x:row>
    <x:row r="57" ht="24" customHeight="1">
      <x:c r="A57" s="2" t="str">
        <x:v>2020Q4</x:v>
      </x:c>
      <x:c r="B57" s="8" t="n">
        <x:f>'取值明细'!D456</x:f>
        <x:v>2.756</x:v>
      </x:c>
      <x:c r="C57" s="8" t="n">
        <x:f>'取值明细'!D457</x:f>
        <x:v>8.116</x:v>
      </x:c>
      <x:c r="D57" s="8" t="n">
        <x:f>'取值明细'!D458</x:f>
        <x:v>8.212</x:v>
      </x:c>
      <x:c r="E57" s="8" t="n">
        <x:f>'取值明细'!D459</x:f>
        <x:v>-0.338</x:v>
      </x:c>
      <x:c r="F57" s="8" t="n">
        <x:f>'取值明细'!D460</x:f>
        <x:v>10.447</x:v>
      </x:c>
      <x:c r="G57" s="8" t="n">
        <x:f>'取值明细'!D461</x:f>
        <x:v>18.297</x:v>
      </x:c>
      <x:c r="H57" s="8" t="n">
        <x:f>'取值明细'!D462</x:f>
        <x:v>5.528</x:v>
      </x:c>
      <x:c r="I57" s="8" t="n">
        <x:f>'取值明细'!D463</x:f>
        <x:v>24.235</x:v>
      </x:c>
      <x:c r="J57" s="8" t="n">
        <x:f>'取值明细'!D464</x:f>
        <x:v>5.165</x:v>
      </x:c>
      <x:c r="K57" s="8" t="n">
        <x:f>'取值明细'!D465</x:f>
        <x:v>2.208</x:v>
      </x:c>
      <x:c r="L57" s="8" t="n">
        <x:f>'取值明细'!D466</x:f>
        <x:v>3.127</x:v>
      </x:c>
      <x:c r="M57" s="2" t="str">
        <x:v>曲线近似值</x:v>
      </x:c>
    </x:row>
    <x:row r="58" ht="24" customHeight="1">
      <x:c r="A58" s="9" t="str">
        <x:v>2021Q1</x:v>
      </x:c>
      <x:c r="B58" s="10" t="n">
        <x:f>'取值明细'!D467</x:f>
        <x:v>3.013</x:v>
      </x:c>
      <x:c r="C58" s="10" t="n">
        <x:f>'取值明细'!D468</x:f>
        <x:v>10.238</x:v>
      </x:c>
      <x:c r="D58" s="10" t="n">
        <x:f>'取值明细'!D469</x:f>
        <x:v>8.081</x:v>
      </x:c>
      <x:c r="E58" s="10" t="n">
        <x:f>'取值明细'!D470</x:f>
        <x:v>3.618</x:v>
      </x:c>
      <x:c r="F58" s="10" t="n">
        <x:f>'取值明细'!D471</x:f>
        <x:v>13.324</x:v>
      </x:c>
      <x:c r="G58" s="10" t="n">
        <x:f>'取值明细'!D472</x:f>
        <x:v>21.912</x:v>
      </x:c>
      <x:c r="H58" s="10" t="n">
        <x:f>'取值明细'!D473</x:f>
        <x:v>5.765</x:v>
      </x:c>
      <x:c r="I58" s="10" t="n">
        <x:f>'取值明细'!D474</x:f>
        <x:v>23.494</x:v>
      </x:c>
      <x:c r="J58" s="10" t="n">
        <x:f>'取值明细'!D475</x:f>
        <x:v>6.259</x:v>
      </x:c>
      <x:c r="K58" s="10" t="n">
        <x:f>'取值明细'!D476</x:f>
        <x:v>2.337</x:v>
      </x:c>
      <x:c r="L58" s="10" t="n">
        <x:f>'取值明细'!D477</x:f>
        <x:v>4.253</x:v>
      </x:c>
      <x:c r="M58" s="9" t="str">
        <x:v>曲线近似值</x:v>
      </x:c>
    </x:row>
    <x:row r="59" ht="24" customHeight="1">
      <x:c r="A59" s="2" t="str">
        <x:v>2021Q2</x:v>
      </x:c>
      <x:c r="B59" s="8" t="n">
        <x:f>'取值明细'!D478</x:f>
        <x:v>3.143</x:v>
      </x:c>
      <x:c r="C59" s="8" t="n">
        <x:f>'取值明细'!D479</x:f>
        <x:v>11.19</x:v>
      </x:c>
      <x:c r="D59" s="8" t="n">
        <x:f>'取值明细'!D480</x:f>
        <x:v>8.748</x:v>
      </x:c>
      <x:c r="E59" s="8" t="n">
        <x:f>'取值明细'!D481</x:f>
        <x:v>6.244</x:v>
      </x:c>
      <x:c r="F59" s="8" t="n">
        <x:f>'取值明细'!D482</x:f>
        <x:v>12.774</x:v>
      </x:c>
      <x:c r="G59" s="8" t="n">
        <x:f>'取值明细'!D483</x:f>
        <x:v>22.833</x:v>
      </x:c>
      <x:c r="H59" s="8" t="n">
        <x:f>'取值明细'!D484</x:f>
        <x:v>8.366</x:v>
      </x:c>
      <x:c r="I59" s="8" t="n">
        <x:f>'取值明细'!D485</x:f>
        <x:v>24.53</x:v>
      </x:c>
      <x:c r="J59" s="8" t="n">
        <x:f>'取值明细'!D486</x:f>
        <x:v>8.953</x:v>
      </x:c>
      <x:c r="K59" s="8" t="n">
        <x:f>'取值明细'!D487</x:f>
        <x:v>2.778</x:v>
      </x:c>
      <x:c r="L59" s="8" t="n">
        <x:f>'取值明细'!D488</x:f>
        <x:v>4.13</x:v>
      </x:c>
      <x:c r="M59" s="2" t="str">
        <x:v>曲线近似值</x:v>
      </x:c>
    </x:row>
    <x:row r="60" ht="24" customHeight="1">
      <x:c r="A60" s="9" t="str">
        <x:v>2021Q3</x:v>
      </x:c>
      <x:c r="B60" s="10" t="n">
        <x:f>'取值明细'!D489</x:f>
        <x:v>3.016</x:v>
      </x:c>
      <x:c r="C60" s="10" t="n">
        <x:f>'取值明细'!D490</x:f>
        <x:v>10.242</x:v>
      </x:c>
      <x:c r="D60" s="10" t="n">
        <x:f>'取值明细'!D491</x:f>
        <x:v>9.194</x:v>
      </x:c>
      <x:c r="E60" s="10" t="n">
        <x:f>'取值明细'!D492</x:f>
        <x:v>9.72</x:v>
      </x:c>
      <x:c r="F60" s="10" t="n">
        <x:f>'取值明细'!D493</x:f>
        <x:v>11.427</x:v>
      </x:c>
      <x:c r="G60" s="10" t="n">
        <x:f>'取值明细'!D494</x:f>
        <x:v>23.452</x:v>
      </x:c>
      <x:c r="H60" s="10" t="n">
        <x:f>'取值明细'!D495</x:f>
        <x:v>8.732</x:v>
      </x:c>
      <x:c r="I60" s="10" t="n">
        <x:f>'取值明细'!D496</x:f>
        <x:v>25.467</x:v>
      </x:c>
      <x:c r="J60" s="10" t="n">
        <x:f>'取值明细'!D497</x:f>
        <x:v>8.395</x:v>
      </x:c>
      <x:c r="K60" s="10" t="n">
        <x:f>'取值明细'!D498</x:f>
        <x:v>2.818</x:v>
      </x:c>
      <x:c r="L60" s="10" t="n">
        <x:f>'取值明细'!D499</x:f>
        <x:v>5.781</x:v>
      </x:c>
      <x:c r="M60" s="9" t="str">
        <x:v>曲线近似值</x:v>
      </x:c>
    </x:row>
    <x:row r="61" ht="24" customHeight="1">
      <x:c r="A61" s="2" t="str">
        <x:v>2021Q4</x:v>
      </x:c>
      <x:c r="B61" s="8" t="n">
        <x:f>'取值明细'!D500</x:f>
        <x:v>3.193</x:v>
      </x:c>
      <x:c r="C61" s="8" t="n">
        <x:f>'取值明细'!D501</x:f>
        <x:v>11.884</x:v>
      </x:c>
      <x:c r="D61" s="8" t="n">
        <x:f>'取值明细'!D502</x:f>
        <x:v>8.805</x:v>
      </x:c>
      <x:c r="E61" s="8" t="n">
        <x:f>'取值明细'!D503</x:f>
        <x:v>11.622</x:v>
      </x:c>
      <x:c r="F61" s="8" t="n">
        <x:f>'取值明细'!D504</x:f>
        <x:v>11.29</x:v>
      </x:c>
      <x:c r="G61" s="8" t="n">
        <x:f>'取值明细'!D505</x:f>
        <x:v>22.258</x:v>
      </x:c>
      <x:c r="H61" s="8" t="n">
        <x:f>'取值明细'!D506</x:f>
        <x:v>7.76</x:v>
      </x:c>
      <x:c r="I61" s="8" t="n">
        <x:f>'取值明细'!D507</x:f>
        <x:v>29.41</x:v>
      </x:c>
      <x:c r="J61" s="8" t="n">
        <x:f>'取值明细'!D508</x:f>
        <x:v>8.295</x:v>
      </x:c>
      <x:c r="K61" s="8" t="n">
        <x:f>'取值明细'!D509</x:f>
        <x:v>2.617</x:v>
      </x:c>
      <x:c r="L61" s="8" t="n">
        <x:f>'取值明细'!D510</x:f>
        <x:v>3.105</x:v>
      </x:c>
      <x:c r="M61" s="2" t="str">
        <x:v>曲线近似值</x:v>
      </x:c>
    </x:row>
    <x:row r="62" ht="24" customHeight="1">
      <x:c r="A62" s="9" t="str">
        <x:v>2022Q1</x:v>
      </x:c>
      <x:c r="B62" s="10" t="n">
        <x:f>'取值明细'!D511</x:f>
        <x:v>2.961</x:v>
      </x:c>
      <x:c r="C62" s="10" t="n">
        <x:f>'取值明细'!D512</x:f>
        <x:v>7.148</x:v>
      </x:c>
      <x:c r="D62" s="10" t="n">
        <x:f>'取值明细'!D513</x:f>
        <x:v>8.768</x:v>
      </x:c>
      <x:c r="E62" s="10" t="n">
        <x:f>'取值明细'!D514</x:f>
        <x:v>13.735</x:v>
      </x:c>
      <x:c r="F62" s="10" t="n">
        <x:f>'取值明细'!D515</x:f>
        <x:v>10.753</x:v>
      </x:c>
      <x:c r="G62" s="10" t="n">
        <x:f>'取值明细'!D516</x:f>
        <x:v>25.158</x:v>
      </x:c>
      <x:c r="H62" s="10" t="n">
        <x:f>'取值明细'!D517</x:f>
        <x:v>7.707</x:v>
      </x:c>
      <x:c r="I62" s="10" t="n">
        <x:f>'取值明细'!D518</x:f>
        <x:v>26.772</x:v>
      </x:c>
      <x:c r="J62" s="10" t="n">
        <x:f>'取值明细'!D519</x:f>
        <x:v>9.016</x:v>
      </x:c>
      <x:c r="K62" s="10" t="n">
        <x:f>'取值明细'!D520</x:f>
        <x:v>3.177</x:v>
      </x:c>
      <x:c r="L62" s="10" t="n">
        <x:f>'取值明细'!D521</x:f>
        <x:v>5.322</x:v>
      </x:c>
      <x:c r="M62" s="9" t="str">
        <x:v>曲线近似值</x:v>
      </x:c>
    </x:row>
    <x:row r="63" ht="24" customHeight="1">
      <x:c r="A63" s="2" t="str">
        <x:v>2022Q2</x:v>
      </x:c>
      <x:c r="B63" s="8" t="n">
        <x:f>'取值明细'!D522</x:f>
        <x:v>2.519</x:v>
      </x:c>
      <x:c r="C63" s="8" t="n">
        <x:f>'取值明细'!D523</x:f>
        <x:v>9.107</x:v>
      </x:c>
      <x:c r="D63" s="8" t="n">
        <x:f>'取值明细'!D524</x:f>
        <x:v>8.937</x:v>
      </x:c>
      <x:c r="E63" s="8" t="n">
        <x:f>'取值明细'!D525</x:f>
        <x:v>23.833</x:v>
      </x:c>
      <x:c r="F63" s="8" t="n">
        <x:f>'取值明细'!D526</x:f>
        <x:v>10.156</x:v>
      </x:c>
      <x:c r="G63" s="8" t="n">
        <x:f>'取值明细'!D527</x:f>
        <x:v>24.369</x:v>
      </x:c>
      <x:c r="H63" s="8" t="n">
        <x:f>'取值明细'!D528</x:f>
        <x:v>11.096</x:v>
      </x:c>
      <x:c r="I63" s="8" t="n">
        <x:f>'取值明细'!D529</x:f>
        <x:v>24.214</x:v>
      </x:c>
      <x:c r="J63" s="8" t="n">
        <x:f>'取值明细'!D530</x:f>
        <x:v>10.343</x:v>
      </x:c>
      <x:c r="K63" s="8" t="n">
        <x:f>'取值明细'!D531</x:f>
        <x:v>3.253</x:v>
      </x:c>
      <x:c r="L63" s="8" t="n">
        <x:f>'取值明细'!D532</x:f>
        <x:v>3.98</x:v>
      </x:c>
      <x:c r="M63" s="2" t="str">
        <x:v>曲线近似值</x:v>
      </x:c>
    </x:row>
    <x:row r="64" ht="24" customHeight="1">
      <x:c r="A64" s="9" t="str">
        <x:v>2022Q3</x:v>
      </x:c>
      <x:c r="B64" s="10" t="n">
        <x:f>'取值明细'!D533</x:f>
        <x:v>2.288</x:v>
      </x:c>
      <x:c r="C64" s="10" t="n">
        <x:f>'取值明细'!D534</x:f>
        <x:v>10.923</x:v>
      </x:c>
      <x:c r="D64" s="10" t="n">
        <x:f>'取值明细'!D535</x:f>
        <x:v>9.295</x:v>
      </x:c>
      <x:c r="E64" s="10" t="n">
        <x:f>'取值明细'!D536</x:f>
        <x:v>23.164</x:v>
      </x:c>
      <x:c r="F64" s="10" t="n">
        <x:f>'取值明细'!D537</x:f>
        <x:v>9.545</x:v>
      </x:c>
      <x:c r="G64" s="10" t="n">
        <x:f>'取值明细'!D538</x:f>
        <x:v>23.596</x:v>
      </x:c>
      <x:c r="H64" s="10" t="n">
        <x:f>'取值明细'!D539</x:f>
        <x:v>10.467</x:v>
      </x:c>
      <x:c r="I64" s="10" t="n">
        <x:f>'取值明细'!D540</x:f>
        <x:v>25.183</x:v>
      </x:c>
      <x:c r="J64" s="10" t="n">
        <x:f>'取值明细'!D541</x:f>
        <x:v>7.565</x:v>
      </x:c>
      <x:c r="K64" s="10" t="n">
        <x:f>'取值明细'!D542</x:f>
        <x:v>3.096</x:v>
      </x:c>
      <x:c r="L64" s="10" t="n">
        <x:f>'取值明细'!D543</x:f>
        <x:v>5.454</x:v>
      </x:c>
      <x:c r="M64" s="9" t="str">
        <x:v>曲线近似值</x:v>
      </x:c>
    </x:row>
    <x:row r="65" ht="24" customHeight="1">
      <x:c r="A65" s="2" t="str">
        <x:v>2022Q4</x:v>
      </x:c>
      <x:c r="B65" s="8" t="n">
        <x:f>'取值明细'!D544</x:f>
        <x:v>2.288</x:v>
      </x:c>
      <x:c r="C65" s="8" t="n">
        <x:f>'取值明细'!D545</x:f>
        <x:v>9.126</x:v>
      </x:c>
      <x:c r="D65" s="8" t="n">
        <x:f>'取值明细'!D546</x:f>
        <x:v>9.555</x:v>
      </x:c>
      <x:c r="E65" s="8" t="n">
        <x:f>'取值明细'!D547</x:f>
        <x:v>18.274</x:v>
      </x:c>
      <x:c r="F65" s="8" t="n">
        <x:f>'取值明细'!D548</x:f>
        <x:v>11.413</x:v>
      </x:c>
      <x:c r="G65" s="8" t="n">
        <x:f>'取值明细'!D549</x:f>
        <x:v>21.453</x:v>
      </x:c>
      <x:c r="H65" s="8" t="n">
        <x:f>'取值明细'!D550</x:f>
        <x:v>11.344</x:v>
      </x:c>
      <x:c r="I65" s="8" t="n">
        <x:f>'取值明细'!D551</x:f>
        <x:v>24.175</x:v>
      </x:c>
      <x:c r="J65" s="8" t="n">
        <x:f>'取值明细'!D552</x:f>
        <x:v>6.851</x:v>
      </x:c>
      <x:c r="K65" s="8" t="n">
        <x:f>'取值明细'!D553</x:f>
        <x:v>2.303</x:v>
      </x:c>
      <x:c r="L65" s="8" t="n">
        <x:f>'取值明细'!D554</x:f>
        <x:v>3.042</x:v>
      </x:c>
      <x:c r="M65" s="2" t="str">
        <x:v>曲线近似值</x:v>
      </x:c>
    </x:row>
    <x:row r="66" ht="24" customHeight="1">
      <x:c r="A66" s="9" t="str">
        <x:v>2023Q1</x:v>
      </x:c>
      <x:c r="B66" s="10" t="n">
        <x:f>'取值明细'!D555</x:f>
        <x:v>2.521</x:v>
      </x:c>
      <x:c r="C66" s="10" t="n">
        <x:f>'取值明细'!D556</x:f>
        <x:v>9.939</x:v>
      </x:c>
      <x:c r="D66" s="10" t="n">
        <x:f>'取值明细'!D557</x:f>
        <x:v>8.9</x:v>
      </x:c>
      <x:c r="E66" s="10" t="n">
        <x:f>'取值明细'!D558</x:f>
        <x:v>16.02</x:v>
      </x:c>
      <x:c r="F66" s="10" t="n">
        <x:f>'取值明细'!D559</x:f>
        <x:v>10.188</x:v>
      </x:c>
      <x:c r="G66" s="10" t="n">
        <x:f>'取值明细'!D560</x:f>
        <x:v>21.327</x:v>
      </x:c>
      <x:c r="H66" s="10" t="n">
        <x:f>'取值明细'!D561</x:f>
        <x:v>9.945</x:v>
      </x:c>
      <x:c r="I66" s="10" t="n">
        <x:f>'取值明细'!D562</x:f>
        <x:v>24.13</x:v>
      </x:c>
      <x:c r="J66" s="10" t="n">
        <x:f>'取值明细'!D563</x:f>
        <x:v>7.275</x:v>
      </x:c>
      <x:c r="K66" s="10" t="n">
        <x:f>'取值明细'!D564</x:f>
        <x:v>2.816</x:v>
      </x:c>
      <x:c r="L66" s="10" t="n">
        <x:f>'取值明细'!D565</x:f>
        <x:v>4.225</x:v>
      </x:c>
      <x:c r="M66" s="9" t="str">
        <x:v>曲线近似值</x:v>
      </x:c>
    </x:row>
    <x:row r="67" ht="24" customHeight="1">
      <x:c r="A67" s="2" t="str">
        <x:v>2023Q2</x:v>
      </x:c>
      <x:c r="B67" s="8" t="n">
        <x:f>'取值明细'!D566</x:f>
        <x:v>2.965</x:v>
      </x:c>
      <x:c r="C67" s="8" t="n">
        <x:f>'取值明细'!D567</x:f>
        <x:v>13.833</x:v>
      </x:c>
      <x:c r="D67" s="8" t="n">
        <x:f>'取值明细'!D568</x:f>
        <x:v>9.488</x:v>
      </x:c>
      <x:c r="E67" s="8" t="n">
        <x:f>'取值明细'!D569</x:f>
        <x:v>12.523</x:v>
      </x:c>
      <x:c r="F67" s="8" t="n">
        <x:f>'取值明细'!D570</x:f>
        <x:v>10.038</x:v>
      </x:c>
      <x:c r="G67" s="8" t="n">
        <x:f>'取值明细'!D571</x:f>
        <x:v>17.533</x:v>
      </x:c>
      <x:c r="H67" s="8" t="n">
        <x:f>'取值明细'!D572</x:f>
        <x:v>12.612</x:v>
      </x:c>
      <x:c r="I67" s="8" t="n">
        <x:f>'取值明细'!D573</x:f>
        <x:v>25.547</x:v>
      </x:c>
      <x:c r="J67" s="8" t="n">
        <x:f>'取值明细'!D574</x:f>
        <x:v>7.969</x:v>
      </x:c>
      <x:c r="K67" s="8" t="n">
        <x:f>'取值明细'!D575</x:f>
        <x:v>3.062</x:v>
      </x:c>
      <x:c r="L67" s="8" t="n">
        <x:f>'取值明细'!D576</x:f>
        <x:v>4.025</x:v>
      </x:c>
      <x:c r="M67" s="2" t="str">
        <x:v>曲线近似值</x:v>
      </x:c>
    </x:row>
    <x:row r="68" ht="24" customHeight="1">
      <x:c r="A68" s="9" t="str">
        <x:v>2023Q3</x:v>
      </x:c>
      <x:c r="B68" s="10" t="n">
        <x:f>'取值明细'!D577</x:f>
        <x:v>3.3</x:v>
      </x:c>
      <x:c r="C68" s="10" t="n">
        <x:f>'取值明细'!D578</x:f>
        <x:v>15.413</x:v>
      </x:c>
      <x:c r="D68" s="10" t="n">
        <x:f>'取值明细'!D579</x:f>
        <x:v>9.751</x:v>
      </x:c>
      <x:c r="E68" s="10" t="n">
        <x:f>'取值明细'!D580</x:f>
        <x:v>15.051</x:v>
      </x:c>
      <x:c r="F68" s="10" t="n">
        <x:f>'取值明细'!D581</x:f>
        <x:v>10.63</x:v>
      </x:c>
      <x:c r="G68" s="10" t="n">
        <x:f>'取值明细'!D582</x:f>
        <x:v>19.094</x:v>
      </x:c>
      <x:c r="H68" s="10" t="n">
        <x:f>'取值明细'!D583</x:f>
        <x:v>11.579</x:v>
      </x:c>
      <x:c r="I68" s="10" t="n">
        <x:f>'取值明细'!D584</x:f>
        <x:v>28.529</x:v>
      </x:c>
      <x:c r="J68" s="10" t="n">
        <x:f>'取值明细'!D585</x:f>
        <x:v>6.481</x:v>
      </x:c>
      <x:c r="K68" s="10" t="n">
        <x:f>'取值明细'!D586</x:f>
        <x:v>2.852</x:v>
      </x:c>
      <x:c r="L68" s="10" t="n">
        <x:f>'取值明细'!D587</x:f>
        <x:v>5.809</x:v>
      </x:c>
      <x:c r="M68" s="9" t="str">
        <x:v>曲线近似值</x:v>
      </x:c>
    </x:row>
    <x:row r="69" ht="24" customHeight="1">
      <x:c r="A69" s="2" t="str">
        <x:v>2023Q4</x:v>
      </x:c>
      <x:c r="B69" s="8" t="n">
        <x:f>'取值明细'!D588</x:f>
        <x:v>3.42</x:v>
      </x:c>
      <x:c r="C69" s="8" t="n">
        <x:f>'取值明细'!D589</x:f>
        <x:v>12.594</x:v>
      </x:c>
      <x:c r="D69" s="8" t="n">
        <x:f>'取值明细'!D590</x:f>
        <x:v>9.391</x:v>
      </x:c>
      <x:c r="E69" s="8" t="n">
        <x:f>'取值明细'!D591</x:f>
        <x:v>14.038</x:v>
      </x:c>
      <x:c r="F69" s="8" t="n">
        <x:f>'取值明细'!D592</x:f>
        <x:v>9.595</x:v>
      </x:c>
      <x:c r="G69" s="8" t="n">
        <x:f>'取值明细'!D593</x:f>
        <x:v>18.049</x:v>
      </x:c>
      <x:c r="H69" s="8" t="n">
        <x:f>'取值明细'!D594</x:f>
        <x:v>11.345</x:v>
      </x:c>
      <x:c r="I69" s="8" t="n">
        <x:f>'取值明细'!D595</x:f>
        <x:v>33.248</x:v>
      </x:c>
      <x:c r="J69" s="8" t="n">
        <x:f>'取值明细'!D596</x:f>
        <x:v>5.44</x:v>
      </x:c>
      <x:c r="K69" s="8" t="n">
        <x:f>'取值明细'!D597</x:f>
        <x:v>2.74</x:v>
      </x:c>
      <x:c r="L69" s="8" t="n">
        <x:f>'取值明细'!D598</x:f>
        <x:v>4.169</x:v>
      </x:c>
      <x:c r="M69" s="2" t="str">
        <x:v>曲线近似值</x:v>
      </x:c>
    </x:row>
    <x:row r="70" ht="24" customHeight="1">
      <x:c r="A70" s="9" t="str">
        <x:v>2024Q1</x:v>
      </x:c>
      <x:c r="B70" s="10" t="n">
        <x:f>'取值明细'!D599</x:f>
        <x:v>3.634</x:v>
      </x:c>
      <x:c r="C70" s="10" t="n">
        <x:f>'取值明细'!D600</x:f>
        <x:v>12.065</x:v>
      </x:c>
      <x:c r="D70" s="10" t="n">
        <x:f>'取值明细'!D601</x:f>
        <x:v>9.521</x:v>
      </x:c>
      <x:c r="E70" s="10" t="n">
        <x:f>'取值明细'!D602</x:f>
        <x:v>12.365</x:v>
      </x:c>
      <x:c r="F70" s="10" t="n">
        <x:f>'取值明细'!D603</x:f>
        <x:v>11.288</x:v>
      </x:c>
      <x:c r="G70" s="10" t="n">
        <x:f>'取值明细'!D604</x:f>
        <x:v>16.103</x:v>
      </x:c>
      <x:c r="H70" s="10" t="n">
        <x:f>'取值明细'!D605</x:f>
        <x:v>9.557</x:v>
      </x:c>
      <x:c r="I70" s="10" t="n">
        <x:f>'取值明细'!D606</x:f>
        <x:v>30.424</x:v>
      </x:c>
      <x:c r="J70" s="10" t="n">
        <x:f>'取值明细'!D607</x:f>
        <x:v>5.74</x:v>
      </x:c>
      <x:c r="K70" s="10" t="n">
        <x:f>'取值明细'!D608</x:f>
        <x:v>3.002</x:v>
      </x:c>
      <x:c r="L70" s="10" t="n">
        <x:f>'取值明细'!D609</x:f>
        <x:v>5.489</x:v>
      </x:c>
      <x:c r="M70" s="9" t="str">
        <x:v>曲线近似值</x:v>
      </x:c>
    </x:row>
    <x:row r="71" ht="24" customHeight="1">
      <x:c r="A71" s="2" t="str">
        <x:v>2024Q2</x:v>
      </x:c>
      <x:c r="B71" s="8" t="n">
        <x:f>'取值明细'!D610</x:f>
        <x:v>3.201</x:v>
      </x:c>
      <x:c r="C71" s="8" t="n">
        <x:f>'取值明细'!D611</x:f>
        <x:v>15.101</x:v>
      </x:c>
      <x:c r="D71" s="8" t="n">
        <x:f>'取值明细'!D612</x:f>
        <x:v>9.817</x:v>
      </x:c>
      <x:c r="E71" s="8" t="n">
        <x:f>'取值明细'!D613</x:f>
        <x:v>12.389</x:v>
      </x:c>
      <x:c r="F71" s="8" t="n">
        <x:f>'取值明细'!D614</x:f>
        <x:v>11.684</x:v>
      </x:c>
      <x:c r="G71" s="8" t="n">
        <x:f>'取值明细'!D615</x:f>
        <x:v>21.07</x:v>
      </x:c>
      <x:c r="H71" s="8" t="n">
        <x:f>'取值明细'!D616</x:f>
        <x:v>11.943</x:v>
      </x:c>
      <x:c r="I71" s="8" t="n">
        <x:f>'取值明细'!D617</x:f>
        <x:v>31.04</x:v>
      </x:c>
      <x:c r="J71" s="8" t="n">
        <x:f>'取值明细'!D618</x:f>
        <x:v>7.219</x:v>
      </x:c>
      <x:c r="K71" s="8" t="n">
        <x:f>'取值明细'!D619</x:f>
        <x:v>2.977</x:v>
      </x:c>
      <x:c r="L71" s="8" t="n">
        <x:f>'取值明细'!D620</x:f>
        <x:v>4.653</x:v>
      </x:c>
      <x:c r="M71" s="2" t="str">
        <x:v>曲线近似值</x:v>
      </x:c>
    </x:row>
    <x:row r="72" ht="24" customHeight="1">
      <x:c r="A72" s="9" t="str">
        <x:v>2024Q3</x:v>
      </x:c>
      <x:c r="B72" s="10" t="n">
        <x:f>'取值明细'!D621</x:f>
        <x:v>4.253</x:v>
      </x:c>
      <x:c r="C72" s="10" t="n">
        <x:f>'取值明细'!D622</x:f>
        <x:v>16.536</x:v>
      </x:c>
      <x:c r="D72" s="10" t="n">
        <x:f>'取值明细'!D623</x:f>
        <x:v>10.309</x:v>
      </x:c>
      <x:c r="E72" s="10" t="n">
        <x:f>'取值明细'!D624</x:f>
        <x:v>10.956</x:v>
      </x:c>
      <x:c r="F72" s="10" t="n">
        <x:f>'取值明细'!D625</x:f>
        <x:v>11.222</x:v>
      </x:c>
      <x:c r="G72" s="10" t="n">
        <x:f>'取值明细'!D626</x:f>
        <x:v>22.012</x:v>
      </x:c>
      <x:c r="H72" s="10" t="n">
        <x:f>'取值明细'!D627</x:f>
        <x:v>10.313</x:v>
      </x:c>
      <x:c r="I72" s="10" t="n">
        <x:f>'取值明细'!D628</x:f>
        <x:v>33.655</x:v>
      </x:c>
      <x:c r="J72" s="10" t="n">
        <x:f>'取值明细'!D629</x:f>
        <x:v>5.737</x:v>
      </x:c>
      <x:c r="K72" s="10" t="n">
        <x:f>'取值明细'!D630</x:f>
        <x:v>2.603</x:v>
      </x:c>
      <x:c r="L72" s="10" t="n">
        <x:f>'取值明细'!D631</x:f>
        <x:v>6.602</x:v>
      </x:c>
      <x:c r="M72" s="9" t="str">
        <x:v>曲线近似值</x:v>
      </x:c>
    </x:row>
    <x:row r="73" ht="24" customHeight="1">
      <x:c r="A73" s="2" t="str">
        <x:v>2024Q4</x:v>
      </x:c>
      <x:c r="B73" s="8" t="n">
        <x:f>'取值明细'!D632</x:f>
        <x:v>4.485</x:v>
      </x:c>
      <x:c r="C73" s="8" t="n">
        <x:f>'取值明细'!D633</x:f>
        <x:v>15.544</x:v>
      </x:c>
      <x:c r="D73" s="8" t="n">
        <x:f>'取值明细'!D634</x:f>
        <x:v>9.681</x:v>
      </x:c>
      <x:c r="E73" s="8" t="n">
        <x:f>'取值明细'!D635</x:f>
        <x:v>9.845</x:v>
      </x:c>
      <x:c r="F73" s="8" t="n">
        <x:f>'取值明细'!D636</x:f>
        <x:v>12.336</x:v>
      </x:c>
      <x:c r="G73" s="8" t="n">
        <x:f>'取值明细'!D637</x:f>
        <x:v>20.781</x:v>
      </x:c>
      <x:c r="H73" s="8" t="n">
        <x:f>'取值明细'!D638</x:f>
        <x:v>12.089</x:v>
      </x:c>
      <x:c r="I73" s="8" t="n">
        <x:f>'取值明细'!D639</x:f>
        <x:v>39.915</x:v>
      </x:c>
      <x:c r="J73" s="8" t="n">
        <x:f>'取值明细'!D640</x:f>
        <x:v>5.254</x:v>
      </x:c>
      <x:c r="K73" s="8" t="n">
        <x:f>'取值明细'!D641</x:f>
        <x:v>3.241</x:v>
      </x:c>
      <x:c r="L73" s="8" t="n">
        <x:f>'取值明细'!D642</x:f>
        <x:v>4.547</x:v>
      </x:c>
      <x:c r="M73" s="2" t="str">
        <x:v>曲线近似值</x:v>
      </x:c>
    </x:row>
    <x:row r="74" ht="24" customHeight="1">
      <x:c r="A74" s="9" t="str">
        <x:v>2025Q1</x:v>
      </x:c>
      <x:c r="B74" s="10" t="n">
        <x:f>'取值明细'!D643</x:f>
        <x:v>4.762</x:v>
      </x:c>
      <x:c r="C74" s="10" t="n">
        <x:f>'取值明细'!D644</x:f>
        <x:v>12.748</x:v>
      </x:c>
      <x:c r="D74" s="10" t="n">
        <x:f>'取值明细'!D645</x:f>
        <x:v>8.972</x:v>
      </x:c>
      <x:c r="E74" s="10" t="n">
        <x:f>'取值明细'!D646</x:f>
        <x:v>9.988</x:v>
      </x:c>
      <x:c r="F74" s="10" t="n">
        <x:f>'取值明细'!D647</x:f>
        <x:v>11.809</x:v>
      </x:c>
      <x:c r="G74" s="10" t="n">
        <x:f>'取值明细'!D648</x:f>
        <x:v>23.473</x:v>
      </x:c>
      <x:c r="H74" s="10" t="n">
        <x:f>'取值明细'!D649</x:f>
        <x:v>10.896</x:v>
      </x:c>
      <x:c r="I74" s="10" t="n">
        <x:f>'取值明细'!D650</x:f>
        <x:v>35.626</x:v>
      </x:c>
      <x:c r="J74" s="10" t="n">
        <x:f>'取值明细'!D651</x:f>
        <x:v>5.598</x:v>
      </x:c>
      <x:c r="K74" s="10" t="n">
        <x:f>'取值明细'!D652</x:f>
        <x:v>2.781</x:v>
      </x:c>
      <x:c r="L74" s="10" t="n">
        <x:f>'取值明细'!D653</x:f>
        <x:v>5.719</x:v>
      </x:c>
      <x:c r="M74" s="9" t="str">
        <x:v>曲线近似值</x:v>
      </x:c>
    </x:row>
    <x:row r="75" ht="24" customHeight="1">
      <x:c r="A75" s="2" t="str">
        <x:v>2025Q2</x:v>
      </x:c>
      <x:c r="B75" s="8" t="n">
        <x:f>'取值明细'!D654</x:f>
        <x:v>4.759</x:v>
      </x:c>
      <x:c r="C75" s="8" t="n">
        <x:f>'取值明细'!D655</x:f>
        <x:v>15.677</x:v>
      </x:c>
      <x:c r="D75" s="8" t="n">
        <x:f>'取值明细'!D656</x:f>
        <x:v>9.78</x:v>
      </x:c>
      <x:c r="E75" s="8" t="n">
        <x:f>'取值明细'!D657</x:f>
        <x:v>9.834</x:v>
      </x:c>
      <x:c r="F75" s="8" t="n">
        <x:f>'取值明细'!D658</x:f>
        <x:v>12.972</x:v>
      </x:c>
      <x:c r="G75" s="8" t="n">
        <x:f>'取值明细'!D659</x:f>
        <x:v>23.025</x:v>
      </x:c>
      <x:c r="H75" s="8" t="n">
        <x:f>'取值明细'!D660</x:f>
        <x:v>12.312</x:v>
      </x:c>
      <x:c r="I75" s="8" t="n">
        <x:f>'取值明细'!D661</x:f>
        <x:v>37.905</x:v>
      </x:c>
      <x:c r="J75" s="8" t="n">
        <x:f>'取值明细'!D662</x:f>
        <x:v>7.115</x:v>
      </x:c>
      <x:c r="K75" s="8" t="n">
        <x:f>'取值明细'!D663</x:f>
        <x:v>3.071</x:v>
      </x:c>
      <x:c r="L75" s="8" t="n">
        <x:f>'取值明细'!D664</x:f>
        <x:v>4.593</x:v>
      </x:c>
      <x:c r="M75" s="2" t="str">
        <x:v>曲线近似值</x:v>
      </x:c>
    </x:row>
    <x:row r="76" ht="24" customHeight="1">
      <x:c r="A76" s="9" t="str">
        <x:v>2025Q3</x:v>
      </x:c>
      <x:c r="B76" s="10" t="n">
        <x:f>'取值明细'!D665</x:f>
        <x:v>3.926</x:v>
      </x:c>
      <x:c r="C76" s="10" t="n">
        <x:f>'取值明细'!D666</x:f>
        <x:v>17.518</x:v>
      </x:c>
      <x:c r="D76" s="10" t="n">
        <x:f>'取值明细'!D667</x:f>
        <x:v>10.313</x:v>
      </x:c>
      <x:c r="E76" s="10" t="n">
        <x:f>'取值明细'!D668</x:f>
        <x:v>10.698</x:v>
      </x:c>
      <x:c r="F76" s="10" t="n">
        <x:f>'取值明细'!D669</x:f>
        <x:v>13.65</x:v>
      </x:c>
      <x:c r="G76" s="10" t="n">
        <x:f>'取值明细'!D670</x:f>
        <x:v>23.127</x:v>
      </x:c>
      <x:c r="H76" s="10" t="n">
        <x:f>'取值明细'!D671</x:f>
        <x:v>12.408</x:v>
      </x:c>
      <x:c r="I76" s="10" t="n">
        <x:f>'取值明细'!D672</x:f>
        <x:v>43.475</x:v>
      </x:c>
      <x:c r="J76" s="10" t="n">
        <x:f>'取值明细'!D673</x:f>
        <x:v>6.484</x:v>
      </x:c>
      <x:c r="K76" s="10" t="n">
        <x:f>'取值明细'!D674</x:f>
        <x:v>3.19</x:v>
      </x:c>
      <x:c r="L76" s="10" t="n">
        <x:f>'取值明细'!D675</x:f>
        <x:v>6.958</x:v>
      </x:c>
      <x:c r="M76" s="9" t="str">
        <x:v>曲线近似值</x:v>
      </x:c>
    </x:row>
    <x:row r="77" ht="24" customHeight="1">
      <x:c r="A77" s="2" t="str">
        <x:v>2025Q4</x:v>
      </x:c>
      <x:c r="B77" s="8" t="n">
        <x:f>'取值明细'!D676</x:f>
        <x:v>5.028</x:v>
      </x:c>
      <x:c r="C77" s="8" t="n">
        <x:f>'取值明细'!D677</x:f>
        <x:v>14.946</x:v>
      </x:c>
      <x:c r="D77" s="8" t="n">
        <x:f>'取值明细'!D678</x:f>
        <x:v>9.91</x:v>
      </x:c>
      <x:c r="E77" s="8" t="n">
        <x:f>'取值明细'!D679</x:f>
        <x:v>10.068</x:v>
      </x:c>
      <x:c r="F77" s="8" t="n">
        <x:f>'取值明细'!D680</x:f>
        <x:v>13.24</x:v>
      </x:c>
      <x:c r="G77" s="8" t="n">
        <x:f>'取值明细'!D681</x:f>
        <x:v>21.097</x:v>
      </x:c>
      <x:c r="H77" s="8" t="n">
        <x:f>'取值明细'!D682</x:f>
        <x:v>14.262</x:v>
      </x:c>
      <x:c r="I77" s="8" t="n">
        <x:f>'取值明细'!D683</x:f>
        <x:v>52.564</x:v>
      </x:c>
      <x:c r="J77" s="8" t="n">
        <x:f>'取值明细'!D684</x:f>
        <x:v>6.14</x:v>
      </x:c>
      <x:c r="K77" s="8" t="n">
        <x:f>'取值明细'!D685</x:f>
        <x:v>3.419</x:v>
      </x:c>
      <x:c r="L77" s="8" t="n">
        <x:f>'取值明细'!D686</x:f>
        <x:v>4.527</x:v>
      </x:c>
      <x:c r="M77" s="2" t="str">
        <x:v>曲线近似值</x:v>
      </x:c>
    </x:row>
    <x:row r="78" ht="24" customHeight="1">
      <x:c r="A78" s="9" t="str">
        <x:v>2026Q1</x:v>
      </x:c>
      <x:c r="B78" s="10" t="n">
        <x:f>'取值明细'!D687</x:f>
        <x:v>7.118</x:v>
      </x:c>
      <x:c r="C78" s="10" t="n">
        <x:f>'取值明细'!D688</x:f>
        <x:v>17.72</x:v>
      </x:c>
      <x:c r="D78" s="10" t="n">
        <x:f>'取值明细'!D689</x:f>
        <x:v>9.507</x:v>
      </x:c>
      <x:c r="E78" s="10" t="n">
        <x:f>'取值明细'!D690</x:f>
        <x:v>10.124</x:v>
      </x:c>
      <x:c r="F78" s="10" t="n">
        <x:f>'取值明细'!D691</x:f>
        <x:v>14.179</x:v>
      </x:c>
      <x:c r="G78" s="10" t="n">
        <x:f>'取值明细'!D692</x:f>
        <x:v>22.566</x:v>
      </x:c>
      <x:c r="H78" s="10" t="n">
        <x:f>'取值明细'!D693</x:f>
        <x:v>11.533</x:v>
      </x:c>
      <x:c r="I78" s="10" t="n">
        <x:f>'取值明细'!D694</x:f>
        <x:v>54.993</x:v>
      </x:c>
      <x:c r="J78" s="10" t="n">
        <x:f>'取值明细'!D695</x:f>
        <x:v>7.009</x:v>
      </x:c>
      <x:c r="K78" s="10" t="n">
        <x:f>'取值明细'!D696</x:f>
        <x:v>3.368</x:v>
      </x:c>
      <x:c r="L78" s="10" t="n">
        <x:f>'取值明细'!D697</x:f>
        <x:v>6.874</x:v>
      </x:c>
      <x:c r="M78" s="9" t="str">
        <x:v>曲线近似值</x:v>
      </x:c>
    </x:row>
    <x:row r="79" ht="24" customHeight="1">
      <x:c r="A79" s="2" t="str">
        <x:v>2026Q2</x:v>
      </x:c>
      <x:c r="B79" s="12" t="n">
        <x:f>'取值明细'!D698</x:f>
        <x:v>10.22</x:v>
      </x:c>
      <x:c r="C79" s="12" t="n">
        <x:f>'取值明细'!D699</x:f>
        <x:v>28.98</x:v>
      </x:c>
      <x:c r="D79" s="12" t="n">
        <x:f>'取值明细'!D700</x:f>
        <x:v>10.99</x:v>
      </x:c>
      <x:c r="E79" s="12" t="n">
        <x:f>'取值明细'!D701</x:f>
        <x:v>23.88</x:v>
      </x:c>
      <x:c r="F79" s="12" t="n">
        <x:f>'取值明细'!D702</x:f>
        <x:v>15.76</x:v>
      </x:c>
      <x:c r="G79" s="12" t="n">
        <x:f>'取值明细'!D703</x:f>
        <x:v>21.4</x:v>
      </x:c>
      <x:c r="H79" s="12" t="n">
        <x:f>'取值明细'!D704</x:f>
        <x:v>13.96</x:v>
      </x:c>
      <x:c r="I79" s="12" t="n">
        <x:f>'取值明细'!D705</x:f>
        <x:v>65.7</x:v>
      </x:c>
      <x:c r="J79" s="12" t="n">
        <x:f>'取值明细'!D706</x:f>
        <x:v>9.54</x:v>
      </x:c>
      <x:c r="K79" s="12" t="n">
        <x:f>'取值明细'!D707</x:f>
        <x:v>3.52</x:v>
      </x:c>
      <x:c r="L79" s="12" t="n">
        <x:f>'取值明细'!D708</x:f>
        <x:v>5.05</x:v>
      </x:c>
      <x:c r="M79" s="2" t="str">
        <x:v>图中印刷值</x:v>
      </x:c>
    </x:row>
    <x:row r="80" ht="24" customHeight="1">
      <x:c r="A80" s="2"/>
      <x:c r="B80" s="2"/>
      <x:c r="C80" s="2"/>
      <x:c r="D80" s="2"/>
      <x:c r="E80" s="2"/>
      <x:c r="F80" s="2"/>
      <x:c r="G80" s="2"/>
      <x:c r="H80" s="2"/>
      <x:c r="I80" s="2"/>
      <x:c r="J80" s="2"/>
      <x:c r="K80" s="2"/>
      <x:c r="L80" s="2"/>
      <x:c r="M80" s="2"/>
    </x:row>
  </x:sheetData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Views>
    <x:sheetView showGridLines="0" workbookViewId="0">
      <x:pane xSplit="3" ySplit="8" topLeftCell="D9" activePane="bottomRight" state="frozen"/>
    </x:sheetView>
  </x:sheetViews>
  <x:sheetFormatPr defaultRowHeight="15"/>
  <x:cols>
    <x:col min="1" max="1" width="13" hidden="0" customWidth="1"/>
    <x:col min="2" max="2" width="29" hidden="0" customWidth="1"/>
    <x:col min="3" max="3" width="13" hidden="0" customWidth="1"/>
    <x:col min="4" max="4" width="15" hidden="0" customWidth="1"/>
    <x:col min="5" max="5" width="18" hidden="0" customWidth="1"/>
    <x:col min="6" max="6" width="16" hidden="0" customWidth="1"/>
    <x:col min="7" max="7" width="16" hidden="0" customWidth="1"/>
    <x:col min="8" max="8" width="16" hidden="0" customWidth="1"/>
    <x:col min="9" max="9" width="34" hidden="0" customWidth="1"/>
  </x:cols>
  <x:sheetData>
    <x:row r="1" ht="24" customHeight="1">
      <x:c r="A1" s="2"/>
      <x:c r="B1" s="2"/>
      <x:c r="C1" s="2"/>
      <x:c r="D1" s="2"/>
      <x:c r="E1" s="2"/>
      <x:c r="F1" s="2"/>
      <x:c r="G1" s="2"/>
      <x:c r="H1" s="2"/>
      <x:c r="I1" s="2"/>
    </x:row>
    <x:row r="2" ht="24" customHeight="1">
      <x:c r="A2" s="3" t="str">
        <x:v>取值明细与来源</x:v>
      </x:c>
      <x:c r="B2" s="2"/>
      <x:c r="C2" s="2"/>
      <x:c r="D2" s="2"/>
      <x:c r="E2" s="2"/>
      <x:c r="F2" s="2"/>
      <x:c r="G2" s="2"/>
      <x:c r="H2" s="2"/>
      <x:c r="I2" s="2"/>
    </x:row>
    <x:row r="3" ht="24" customHeight="1">
      <x:c r="A3" s="4"/>
      <x:c r="B3" s="4"/>
      <x:c r="C3" s="4"/>
      <x:c r="D3" s="4"/>
      <x:c r="E3" s="4"/>
      <x:c r="F3" s="4"/>
      <x:c r="G3" s="4"/>
      <x:c r="H3" s="4"/>
      <x:c r="I3" s="4"/>
      <x:c r="J3" s="13"/>
      <x:c r="K3" s="13"/>
      <x:c r="L3" s="13"/>
    </x:row>
    <x:row r="4" ht="24" customHeight="1">
      <x:c r="A4" s="2" t="str">
        <x:v>https://yardeni.com/charts/us-stock-market/stock-market-fundamentals/sp-500-quarterly-metrics</x:v>
      </x:c>
      <x:c r="B4" s="2"/>
      <x:c r="C4" s="2"/>
      <x:c r="D4" s="2"/>
      <x:c r="E4" s="2"/>
      <x:c r="F4" s="2"/>
      <x:c r="G4" s="2"/>
      <x:c r="H4" s="2"/>
      <x:c r="I4" s="2"/>
    </x:row>
    <x:row r="5" ht="24" customHeight="1">
      <x:c r="A5" s="2" t="str">
        <x:v>Figure 11：EPS。原始图下载 2026-10-19；2026-10-20 重查文件完全一致。本次仅恢复文件及转换格式。</x:v>
      </x:c>
      <x:c r="B5" s="2"/>
      <x:c r="C5" s="2"/>
      <x:c r="D5" s="2"/>
      <x:c r="E5" s="2"/>
      <x:c r="F5" s="2"/>
      <x:c r="G5" s="2"/>
      <x:c r="H5" s="2"/>
      <x:c r="I5" s="2"/>
    </x:row>
    <x:row r="6" ht="24" customHeight="1">
      <x:c r="A6" s="2" t="str">
        <x:v>像素敏感度：纵坐标移动 2 像素时的 EPS 变化。不是误差上限或置信区间。</x:v>
      </x:c>
      <x:c r="B6" s="2"/>
      <x:c r="C6" s="2"/>
      <x:c r="D6" s="2"/>
      <x:c r="E6" s="2"/>
      <x:c r="F6" s="2"/>
      <x:c r="G6" s="2"/>
      <x:c r="H6" s="2"/>
      <x:c r="I6" s="2"/>
    </x:row>
    <x:row r="7" ht="24" customHeight="1">
      <x:c r="A7" s="2" t="str">
        <x:v>当前历史修订版本不代表当时已知数据。房地产起点和通信服务历史分类变化须单独考虑。</x:v>
      </x:c>
      <x:c r="B7" s="2"/>
      <x:c r="C7" s="2"/>
      <x:c r="D7" s="2"/>
      <x:c r="E7" s="2"/>
      <x:c r="F7" s="2"/>
      <x:c r="G7" s="2"/>
      <x:c r="H7" s="2"/>
      <x:c r="I7" s="2"/>
    </x:row>
    <x:row r="8" ht="30" customHeight="1">
      <x:c r="A8" s="7" t="str">
        <x:v>季度</x:v>
      </x:c>
      <x:c r="B8" s="7" t="str">
        <x:v>板块代码</x:v>
      </x:c>
      <x:c r="C8" s="7" t="str">
        <x:v>板块</x:v>
      </x:c>
      <x:c r="D8" s="7" t="str">
        <x:v>EPS（美元）</x:v>
      </x:c>
      <x:c r="E8" s="7" t="str">
        <x:v>取值方法</x:v>
      </x:c>
      <x:c r="F8" s="7" t="str">
        <x:v>2像素敏感度</x:v>
      </x:c>
      <x:c r="G8" s="7" t="str">
        <x:v>横坐标</x:v>
      </x:c>
      <x:c r="H8" s="7" t="str">
        <x:v>纵坐标</x:v>
      </x:c>
      <x:c r="I8" s="7" t="str">
        <x:v>实际/预测状态</x:v>
      </x:c>
    </x:row>
    <x:row r="9" ht="24" customHeight="1">
      <x:c r="A9" s="2" t="str">
        <x:v>2010Q1</x:v>
      </x:c>
      <x:c r="B9" s="2" t="str">
        <x:v>Communication Services</x:v>
      </x:c>
      <x:c r="C9" s="2" t="str">
        <x:v>通信服务</x:v>
      </x:c>
      <x:c r="D9" s="16" t="n">
        <x:v>1.792</x:v>
      </x:c>
      <x:c r="E9" s="17" t="str">
        <x:v>曲线近似值</x:v>
      </x:c>
      <x:c r="F9" s="18" t="n">
        <x:v>0.0862</x:v>
      </x:c>
      <x:c r="G9" s="18" t="n">
        <x:v>55.638</x:v>
      </x:c>
      <x:c r="H9" s="18" t="n">
        <x:v>657.905</x:v>
      </x:c>
      <x:c r="I9" s="2" t="str">
        <x:v>历史图表；最终状态未核验</x:v>
      </x:c>
    </x:row>
    <x:row r="10" ht="24" customHeight="1">
      <x:c r="A10" s="2" t="str">
        <x:v>2010Q1</x:v>
      </x:c>
      <x:c r="B10" s="2" t="str">
        <x:v>Consumer Discretionary</x:v>
      </x:c>
      <x:c r="C10" s="2" t="str">
        <x:v>可选消费</x:v>
      </x:c>
      <x:c r="D10" s="16" t="n">
        <x:v>4.198</x:v>
      </x:c>
      <x:c r="E10" s="17" t="str">
        <x:v>曲线近似值</x:v>
      </x:c>
      <x:c r="F10" s="18" t="n">
        <x:v>0.2154</x:v>
      </x:c>
      <x:c r="G10" s="18" t="n">
        <x:v>55.638</x:v>
      </x:c>
      <x:c r="H10" s="18" t="n">
        <x:v>989.532</x:v>
      </x:c>
      <x:c r="I10" s="2" t="str">
        <x:v>历史图表；最终状态未核验</x:v>
      </x:c>
    </x:row>
    <x:row r="11" ht="24" customHeight="1">
      <x:c r="A11" s="2" t="str">
        <x:v>2010Q1</x:v>
      </x:c>
      <x:c r="B11" s="2" t="str">
        <x:v>Consumer Staples</x:v>
      </x:c>
      <x:c r="C11" s="2" t="str">
        <x:v>必需消费</x:v>
      </x:c>
      <x:c r="D11" s="16" t="n">
        <x:v>4.874</x:v>
      </x:c>
      <x:c r="E11" s="17" t="str">
        <x:v>曲线近似值</x:v>
      </x:c>
      <x:c r="F11" s="18" t="n">
        <x:v>0.0504</x:v>
      </x:c>
      <x:c r="G11" s="18" t="n">
        <x:v>55.638</x:v>
      </x:c>
      <x:c r="H11" s="18" t="n">
        <x:v>1322.279</x:v>
      </x:c>
      <x:c r="I11" s="2" t="str">
        <x:v>历史图表；最终状态未核验</x:v>
      </x:c>
    </x:row>
    <x:row r="12" ht="24" customHeight="1">
      <x:c r="A12" s="2" t="str">
        <x:v>2010Q1</x:v>
      </x:c>
      <x:c r="B12" s="2" t="str">
        <x:v>Energy</x:v>
      </x:c>
      <x:c r="C12" s="2" t="str">
        <x:v>能源</x:v>
      </x:c>
      <x:c r="D12" s="16" t="n">
        <x:v>8.194</x:v>
      </x:c>
      <x:c r="E12" s="17" t="str">
        <x:v>曲线近似值</x:v>
      </x:c>
      <x:c r="F12" s="18" t="n">
        <x:v>0.2158</x:v>
      </x:c>
      <x:c r="G12" s="18" t="n">
        <x:v>55.638</x:v>
      </x:c>
      <x:c r="H12" s="18" t="n">
        <x:v>1563.738</x:v>
      </x:c>
      <x:c r="I12" s="2" t="str">
        <x:v>历史图表；最终状态未核验</x:v>
      </x:c>
    </x:row>
    <x:row r="13" ht="24" customHeight="1">
      <x:c r="A13" s="2" t="str">
        <x:v>2010Q1</x:v>
      </x:c>
      <x:c r="B13" s="2" t="str">
        <x:v>Financials</x:v>
      </x:c>
      <x:c r="C13" s="2" t="str">
        <x:v>金融</x:v>
      </x:c>
      <x:c r="D13" s="16" t="n">
        <x:v>3.697</x:v>
      </x:c>
      <x:c r="E13" s="17" t="str">
        <x:v>曲线近似值</x:v>
      </x:c>
      <x:c r="F13" s="18" t="n">
        <x:v>0.1007</x:v>
      </x:c>
      <x:c r="G13" s="18" t="n">
        <x:v>55.638</x:v>
      </x:c>
      <x:c r="H13" s="18" t="n">
        <x:v>1981.312</x:v>
      </x:c>
      <x:c r="I13" s="2" t="str">
        <x:v>历史图表；最终状态未核验</x:v>
      </x:c>
    </x:row>
    <x:row r="14" ht="24" customHeight="1">
      <x:c r="A14" s="2" t="str">
        <x:v>2010Q1</x:v>
      </x:c>
      <x:c r="B14" s="2" t="str">
        <x:v>Health Care</x:v>
      </x:c>
      <x:c r="C14" s="2" t="str">
        <x:v>医疗保健</x:v>
      </x:c>
      <x:c r="D14" s="16" t="n">
        <x:v>7.98</x:v>
      </x:c>
      <x:c r="E14" s="17" t="str">
        <x:v>曲线近似值</x:v>
      </x:c>
      <x:c r="F14" s="18" t="n">
        <x:v>0.173</x:v>
      </x:c>
      <x:c r="G14" s="18" t="n">
        <x:v>1015.638</x:v>
      </x:c>
      <x:c r="H14" s="18" t="n">
        <x:v>336.55</x:v>
      </x:c>
      <x:c r="I14" s="2" t="str">
        <x:v>历史图表；最终状态未核验</x:v>
      </x:c>
    </x:row>
    <x:row r="15" ht="24" customHeight="1">
      <x:c r="A15" s="2" t="str">
        <x:v>2010Q1</x:v>
      </x:c>
      <x:c r="B15" s="2" t="str">
        <x:v>Industrials</x:v>
      </x:c>
      <x:c r="C15" s="2" t="str">
        <x:v>工业</x:v>
      </x:c>
      <x:c r="D15" s="16" t="n">
        <x:v>3.587</x:v>
      </x:c>
      <x:c r="E15" s="17" t="str">
        <x:v>曲线近似值</x:v>
      </x:c>
      <x:c r="F15" s="18" t="n">
        <x:v>0.1149</x:v>
      </x:c>
      <x:c r="G15" s="18" t="n">
        <x:v>1015.638</x:v>
      </x:c>
      <x:c r="H15" s="18" t="n">
        <x:v>637.072</x:v>
      </x:c>
      <x:c r="I15" s="2" t="str">
        <x:v>历史图表；最终状态未核验</x:v>
      </x:c>
    </x:row>
    <x:row r="16" ht="24" customHeight="1">
      <x:c r="A16" s="2" t="str">
        <x:v>2010Q1</x:v>
      </x:c>
      <x:c r="B16" s="2" t="str">
        <x:v>Information Technology</x:v>
      </x:c>
      <x:c r="C16" s="2" t="str">
        <x:v>信息技术</x:v>
      </x:c>
      <x:c r="D16" s="16" t="n">
        <x:v>6.506</x:v>
      </x:c>
      <x:c r="E16" s="17" t="str">
        <x:v>曲线近似值</x:v>
      </x:c>
      <x:c r="F16" s="18" t="n">
        <x:v>0.5027</x:v>
      </x:c>
      <x:c r="G16" s="18" t="n">
        <x:v>1015.638</x:v>
      </x:c>
      <x:c r="H16" s="18" t="n">
        <x:v>1002.613</x:v>
      </x:c>
      <x:c r="I16" s="2" t="str">
        <x:v>历史图表；最终状态未核验</x:v>
      </x:c>
    </x:row>
    <x:row r="17" ht="24" customHeight="1">
      <x:c r="A17" s="2" t="str">
        <x:v>2010Q1</x:v>
      </x:c>
      <x:c r="B17" s="2" t="str">
        <x:v>Materials</x:v>
      </x:c>
      <x:c r="C17" s="2" t="str">
        <x:v>材料</x:v>
      </x:c>
      <x:c r="D17" s="16" t="n">
        <x:v>3.155</x:v>
      </x:c>
      <x:c r="E17" s="17" t="str">
        <x:v>曲线近似值</x:v>
      </x:c>
      <x:c r="F17" s="18" t="n">
        <x:v>0.0719</x:v>
      </x:c>
      <x:c r="G17" s="18" t="n">
        <x:v>1015.638</x:v>
      </x:c>
      <x:c r="H17" s="18" t="n">
        <x:v>1324.89</x:v>
      </x:c>
      <x:c r="I17" s="2" t="str">
        <x:v>历史图表；最终状态未核验</x:v>
      </x:c>
    </x:row>
    <x:row r="18" ht="24" customHeight="1">
      <x:c r="A18" s="2" t="str">
        <x:v>2010Q1</x:v>
      </x:c>
      <x:c r="B18" s="2" t="str">
        <x:v>Utilities</x:v>
      </x:c>
      <x:c r="C18" s="2" t="str">
        <x:v>公用事业</x:v>
      </x:c>
      <x:c r="D18" s="16" t="n">
        <x:v>3.301</x:v>
      </x:c>
      <x:c r="E18" s="17" t="str">
        <x:v>曲线近似值</x:v>
      </x:c>
      <x:c r="F18" s="18" t="n">
        <x:v>0.036</x:v>
      </x:c>
      <x:c r="G18" s="18" t="n">
        <x:v>1015.638</x:v>
      </x:c>
      <x:c r="H18" s="18" t="n">
        <x:v>1942.669</x:v>
      </x:c>
      <x:c r="I18" s="2" t="str">
        <x:v>历史图表；最终状态未核验</x:v>
      </x:c>
    </x:row>
    <x:row r="19" ht="24" customHeight="1">
      <x:c r="A19" s="2" t="str">
        <x:v>2010Q2</x:v>
      </x:c>
      <x:c r="B19" s="2" t="str">
        <x:v>Communication Services</x:v>
      </x:c>
      <x:c r="C19" s="2" t="str">
        <x:v>通信服务</x:v>
      </x:c>
      <x:c r="D19" s="16" t="n">
        <x:v>1.96</x:v>
      </x:c>
      <x:c r="E19" s="17" t="str">
        <x:v>曲线近似值</x:v>
      </x:c>
      <x:c r="F19" s="18" t="n">
        <x:v>0.0862</x:v>
      </x:c>
      <x:c r="G19" s="18" t="n">
        <x:v>67.587</x:v>
      </x:c>
      <x:c r="H19" s="18" t="n">
        <x:v>654.015</x:v>
      </x:c>
      <x:c r="I19" s="2" t="str">
        <x:v>历史图表；最终状态未核验</x:v>
      </x:c>
    </x:row>
    <x:row r="20" ht="24" customHeight="1">
      <x:c r="A20" s="2" t="str">
        <x:v>2010Q2</x:v>
      </x:c>
      <x:c r="B20" s="2" t="str">
        <x:v>Consumer Discretionary</x:v>
      </x:c>
      <x:c r="C20" s="2" t="str">
        <x:v>可选消费</x:v>
      </x:c>
      <x:c r="D20" s="16" t="n">
        <x:v>4.62</x:v>
      </x:c>
      <x:c r="E20" s="17" t="str">
        <x:v>曲线近似值</x:v>
      </x:c>
      <x:c r="F20" s="18" t="n">
        <x:v>0.2154</x:v>
      </x:c>
      <x:c r="G20" s="18" t="n">
        <x:v>67.587</x:v>
      </x:c>
      <x:c r="H20" s="18" t="n">
        <x:v>985.612</x:v>
      </x:c>
      <x:c r="I20" s="2" t="str">
        <x:v>历史图表；最终状态未核验</x:v>
      </x:c>
    </x:row>
    <x:row r="21" ht="24" customHeight="1">
      <x:c r="A21" s="2" t="str">
        <x:v>2010Q2</x:v>
      </x:c>
      <x:c r="B21" s="2" t="str">
        <x:v>Consumer Staples</x:v>
      </x:c>
      <x:c r="C21" s="2" t="str">
        <x:v>必需消费</x:v>
      </x:c>
      <x:c r="D21" s="16" t="n">
        <x:v>5.332</x:v>
      </x:c>
      <x:c r="E21" s="17" t="str">
        <x:v>曲线近似值</x:v>
      </x:c>
      <x:c r="F21" s="18" t="n">
        <x:v>0.0504</x:v>
      </x:c>
      <x:c r="G21" s="18" t="n">
        <x:v>67.587</x:v>
      </x:c>
      <x:c r="H21" s="18" t="n">
        <x:v>1304.114</x:v>
      </x:c>
      <x:c r="I21" s="2" t="str">
        <x:v>历史图表；最终状态未核验</x:v>
      </x:c>
    </x:row>
    <x:row r="22" ht="24" customHeight="1">
      <x:c r="A22" s="2" t="str">
        <x:v>2010Q2</x:v>
      </x:c>
      <x:c r="B22" s="2" t="str">
        <x:v>Energy</x:v>
      </x:c>
      <x:c r="C22" s="2" t="str">
        <x:v>能源</x:v>
      </x:c>
      <x:c r="D22" s="16" t="n">
        <x:v>9.555</x:v>
      </x:c>
      <x:c r="E22" s="17" t="str">
        <x:v>曲线近似值</x:v>
      </x:c>
      <x:c r="F22" s="18" t="n">
        <x:v>0.2158</x:v>
      </x:c>
      <x:c r="G22" s="18" t="n">
        <x:v>67.587</x:v>
      </x:c>
      <x:c r="H22" s="18" t="n">
        <x:v>1551.125</x:v>
      </x:c>
      <x:c r="I22" s="2" t="str">
        <x:v>历史图表；最终状态未核验</x:v>
      </x:c>
    </x:row>
    <x:row r="23" ht="24" customHeight="1">
      <x:c r="A23" s="2" t="str">
        <x:v>2010Q2</x:v>
      </x:c>
      <x:c r="B23" s="2" t="str">
        <x:v>Financials</x:v>
      </x:c>
      <x:c r="C23" s="2" t="str">
        <x:v>金融</x:v>
      </x:c>
      <x:c r="D23" s="16" t="n">
        <x:v>3.762</x:v>
      </x:c>
      <x:c r="E23" s="17" t="str">
        <x:v>曲线近似值</x:v>
      </x:c>
      <x:c r="F23" s="18" t="n">
        <x:v>0.1007</x:v>
      </x:c>
      <x:c r="G23" s="18" t="n">
        <x:v>67.587</x:v>
      </x:c>
      <x:c r="H23" s="18" t="n">
        <x:v>1980.004</x:v>
      </x:c>
      <x:c r="I23" s="2" t="str">
        <x:v>历史图表；最终状态未核验</x:v>
      </x:c>
    </x:row>
    <x:row r="24" ht="24" customHeight="1">
      <x:c r="A24" s="2" t="str">
        <x:v>2010Q2</x:v>
      </x:c>
      <x:c r="B24" s="2" t="str">
        <x:v>Health Care</x:v>
      </x:c>
      <x:c r="C24" s="2" t="str">
        <x:v>医疗保健</x:v>
      </x:c>
      <x:c r="D24" s="16" t="n">
        <x:v>7.97</x:v>
      </x:c>
      <x:c r="E24" s="17" t="str">
        <x:v>曲线近似值</x:v>
      </x:c>
      <x:c r="F24" s="18" t="n">
        <x:v>0.173</x:v>
      </x:c>
      <x:c r="G24" s="18" t="n">
        <x:v>1027.587</x:v>
      </x:c>
      <x:c r="H24" s="18" t="n">
        <x:v>336.665</x:v>
      </x:c>
      <x:c r="I24" s="2" t="str">
        <x:v>历史图表；最终状态未核验</x:v>
      </x:c>
    </x:row>
    <x:row r="25" ht="24" customHeight="1">
      <x:c r="A25" s="2" t="str">
        <x:v>2010Q2</x:v>
      </x:c>
      <x:c r="B25" s="2" t="str">
        <x:v>Industrials</x:v>
      </x:c>
      <x:c r="C25" s="2" t="str">
        <x:v>工业</x:v>
      </x:c>
      <x:c r="D25" s="16" t="n">
        <x:v>4.698</x:v>
      </x:c>
      <x:c r="E25" s="17" t="str">
        <x:v>曲线近似值</x:v>
      </x:c>
      <x:c r="F25" s="18" t="n">
        <x:v>0.1149</x:v>
      </x:c>
      <x:c r="G25" s="18" t="n">
        <x:v>1027.587</x:v>
      </x:c>
      <x:c r="H25" s="18" t="n">
        <x:v>617.718</x:v>
      </x:c>
      <x:c r="I25" s="2" t="str">
        <x:v>历史图表；最终状态未核验</x:v>
      </x:c>
    </x:row>
    <x:row r="26" ht="24" customHeight="1">
      <x:c r="A26" s="2" t="str">
        <x:v>2010Q2</x:v>
      </x:c>
      <x:c r="B26" s="2" t="str">
        <x:v>Information Technology</x:v>
      </x:c>
      <x:c r="C26" s="2" t="str">
        <x:v>信息技术</x:v>
      </x:c>
      <x:c r="D26" s="16" t="n">
        <x:v>7.202</x:v>
      </x:c>
      <x:c r="E26" s="17" t="str">
        <x:v>曲线近似值</x:v>
      </x:c>
      <x:c r="F26" s="18" t="n">
        <x:v>0.5027</x:v>
      </x:c>
      <x:c r="G26" s="18" t="n">
        <x:v>1027.587</x:v>
      </x:c>
      <x:c r="H26" s="18" t="n">
        <x:v>999.845</x:v>
      </x:c>
      <x:c r="I26" s="2" t="str">
        <x:v>历史图表；最终状态未核验</x:v>
      </x:c>
    </x:row>
    <x:row r="27" ht="24" customHeight="1">
      <x:c r="A27" s="2" t="str">
        <x:v>2010Q2</x:v>
      </x:c>
      <x:c r="B27" s="2" t="str">
        <x:v>Materials</x:v>
      </x:c>
      <x:c r="C27" s="2" t="str">
        <x:v>材料</x:v>
      </x:c>
      <x:c r="D27" s="16" t="n">
        <x:v>3.486</x:v>
      </x:c>
      <x:c r="E27" s="17" t="str">
        <x:v>曲线近似值</x:v>
      </x:c>
      <x:c r="F27" s="18" t="n">
        <x:v>0.0719</x:v>
      </x:c>
      <x:c r="G27" s="18" t="n">
        <x:v>1027.587</x:v>
      </x:c>
      <x:c r="H27" s="18" t="n">
        <x:v>1315.694</x:v>
      </x:c>
      <x:c r="I27" s="2" t="str">
        <x:v>历史图表；最终状态未核验</x:v>
      </x:c>
    </x:row>
    <x:row r="28" ht="24" customHeight="1">
      <x:c r="A28" s="2" t="str">
        <x:v>2010Q2</x:v>
      </x:c>
      <x:c r="B28" s="2" t="str">
        <x:v>Utilities</x:v>
      </x:c>
      <x:c r="C28" s="2" t="str">
        <x:v>公用事业</x:v>
      </x:c>
      <x:c r="D28" s="16" t="n">
        <x:v>2.843</x:v>
      </x:c>
      <x:c r="E28" s="17" t="str">
        <x:v>曲线近似值</x:v>
      </x:c>
      <x:c r="F28" s="18" t="n">
        <x:v>0.036</x:v>
      </x:c>
      <x:c r="G28" s="18" t="n">
        <x:v>1027.587</x:v>
      </x:c>
      <x:c r="H28" s="18" t="n">
        <x:v>1968.134</x:v>
      </x:c>
      <x:c r="I28" s="2" t="str">
        <x:v>历史图表；最终状态未核验</x:v>
      </x:c>
    </x:row>
    <x:row r="29" ht="24" customHeight="1">
      <x:c r="A29" s="2" t="str">
        <x:v>2010Q3</x:v>
      </x:c>
      <x:c r="B29" s="2" t="str">
        <x:v>Communication Services</x:v>
      </x:c>
      <x:c r="C29" s="2" t="str">
        <x:v>通信服务</x:v>
      </x:c>
      <x:c r="D29" s="16" t="n">
        <x:v>1.679</x:v>
      </x:c>
      <x:c r="E29" s="17" t="str">
        <x:v>曲线近似值</x:v>
      </x:c>
      <x:c r="F29" s="18" t="n">
        <x:v>0.0862</x:v>
      </x:c>
      <x:c r="G29" s="18" t="n">
        <x:v>79.583</x:v>
      </x:c>
      <x:c r="H29" s="18" t="n">
        <x:v>660.544</x:v>
      </x:c>
      <x:c r="I29" s="2" t="str">
        <x:v>历史图表；最终状态未核验</x:v>
      </x:c>
    </x:row>
    <x:row r="30" ht="24" customHeight="1">
      <x:c r="A30" s="2" t="str">
        <x:v>2010Q3</x:v>
      </x:c>
      <x:c r="B30" s="2" t="str">
        <x:v>Consumer Discretionary</x:v>
      </x:c>
      <x:c r="C30" s="2" t="str">
        <x:v>可选消费</x:v>
      </x:c>
      <x:c r="D30" s="16" t="n">
        <x:v>4.351</x:v>
      </x:c>
      <x:c r="E30" s="17" t="str">
        <x:v>曲线近似值</x:v>
      </x:c>
      <x:c r="F30" s="18" t="n">
        <x:v>0.2154</x:v>
      </x:c>
      <x:c r="G30" s="18" t="n">
        <x:v>79.583</x:v>
      </x:c>
      <x:c r="H30" s="18" t="n">
        <x:v>988.111</x:v>
      </x:c>
      <x:c r="I30" s="2" t="str">
        <x:v>历史图表；最终状态未核验</x:v>
      </x:c>
    </x:row>
    <x:row r="31" ht="24" customHeight="1">
      <x:c r="A31" s="2" t="str">
        <x:v>2010Q3</x:v>
      </x:c>
      <x:c r="B31" s="2" t="str">
        <x:v>Consumer Staples</x:v>
      </x:c>
      <x:c r="C31" s="2" t="str">
        <x:v>必需消费</x:v>
      </x:c>
      <x:c r="D31" s="16" t="n">
        <x:v>5.529</x:v>
      </x:c>
      <x:c r="E31" s="17" t="str">
        <x:v>曲线近似值</x:v>
      </x:c>
      <x:c r="F31" s="18" t="n">
        <x:v>0.0504</x:v>
      </x:c>
      <x:c r="G31" s="18" t="n">
        <x:v>79.583</x:v>
      </x:c>
      <x:c r="H31" s="18" t="n">
        <x:v>1296.287</x:v>
      </x:c>
      <x:c r="I31" s="2" t="str">
        <x:v>历史图表；最终状态未核验</x:v>
      </x:c>
    </x:row>
    <x:row r="32" ht="24" customHeight="1">
      <x:c r="A32" s="2" t="str">
        <x:v>2010Q3</x:v>
      </x:c>
      <x:c r="B32" s="2" t="str">
        <x:v>Energy</x:v>
      </x:c>
      <x:c r="C32" s="2" t="str">
        <x:v>能源</x:v>
      </x:c>
      <x:c r="D32" s="16" t="n">
        <x:v>8.324</x:v>
      </x:c>
      <x:c r="E32" s="17" t="str">
        <x:v>曲线近似值</x:v>
      </x:c>
      <x:c r="F32" s="18" t="n">
        <x:v>0.2158</x:v>
      </x:c>
      <x:c r="G32" s="18" t="n">
        <x:v>79.583</x:v>
      </x:c>
      <x:c r="H32" s="18" t="n">
        <x:v>1562.527</x:v>
      </x:c>
      <x:c r="I32" s="2" t="str">
        <x:v>历史图表；最终状态未核验</x:v>
      </x:c>
    </x:row>
    <x:row r="33" ht="24" customHeight="1">
      <x:c r="A33" s="2" t="str">
        <x:v>2010Q3</x:v>
      </x:c>
      <x:c r="B33" s="2" t="str">
        <x:v>Financials</x:v>
      </x:c>
      <x:c r="C33" s="2" t="str">
        <x:v>金融</x:v>
      </x:c>
      <x:c r="D33" s="16" t="n">
        <x:v>3.759</x:v>
      </x:c>
      <x:c r="E33" s="17" t="str">
        <x:v>曲线近似值</x:v>
      </x:c>
      <x:c r="F33" s="18" t="n">
        <x:v>0.1007</x:v>
      </x:c>
      <x:c r="G33" s="18" t="n">
        <x:v>79.583</x:v>
      </x:c>
      <x:c r="H33" s="18" t="n">
        <x:v>1980.077</x:v>
      </x:c>
      <x:c r="I33" s="2" t="str">
        <x:v>历史图表；最终状态未核验</x:v>
      </x:c>
    </x:row>
    <x:row r="34" ht="24" customHeight="1">
      <x:c r="A34" s="2" t="str">
        <x:v>2010Q3</x:v>
      </x:c>
      <x:c r="B34" s="2" t="str">
        <x:v>Health Care</x:v>
      </x:c>
      <x:c r="C34" s="2" t="str">
        <x:v>医疗保健</x:v>
      </x:c>
      <x:c r="D34" s="16" t="n">
        <x:v>8.057</x:v>
      </x:c>
      <x:c r="E34" s="17" t="str">
        <x:v>曲线近似值</x:v>
      </x:c>
      <x:c r="F34" s="18" t="n">
        <x:v>0.173</x:v>
      </x:c>
      <x:c r="G34" s="18" t="n">
        <x:v>1039.583</x:v>
      </x:c>
      <x:c r="H34" s="18" t="n">
        <x:v>335.667</x:v>
      </x:c>
      <x:c r="I34" s="2" t="str">
        <x:v>历史图表；最终状态未核验</x:v>
      </x:c>
    </x:row>
    <x:row r="35" ht="24" customHeight="1">
      <x:c r="A35" s="2" t="str">
        <x:v>2010Q3</x:v>
      </x:c>
      <x:c r="B35" s="2" t="str">
        <x:v>Industrials</x:v>
      </x:c>
      <x:c r="C35" s="2" t="str">
        <x:v>工业</x:v>
      </x:c>
      <x:c r="D35" s="16" t="n">
        <x:v>4.784</x:v>
      </x:c>
      <x:c r="E35" s="17" t="str">
        <x:v>曲线近似值</x:v>
      </x:c>
      <x:c r="F35" s="18" t="n">
        <x:v>0.1149</x:v>
      </x:c>
      <x:c r="G35" s="18" t="n">
        <x:v>1039.583</x:v>
      </x:c>
      <x:c r="H35" s="18" t="n">
        <x:v>616.236</x:v>
      </x:c>
      <x:c r="I35" s="2" t="str">
        <x:v>历史图表；最终状态未核验</x:v>
      </x:c>
    </x:row>
    <x:row r="36" ht="24" customHeight="1">
      <x:c r="A36" s="2" t="str">
        <x:v>2010Q3</x:v>
      </x:c>
      <x:c r="B36" s="2" t="str">
        <x:v>Information Technology</x:v>
      </x:c>
      <x:c r="C36" s="2" t="str">
        <x:v>信息技术</x:v>
      </x:c>
      <x:c r="D36" s="16" t="n">
        <x:v>7.861</x:v>
      </x:c>
      <x:c r="E36" s="17" t="str">
        <x:v>曲线近似值</x:v>
      </x:c>
      <x:c r="F36" s="18" t="n">
        <x:v>0.5027</x:v>
      </x:c>
      <x:c r="G36" s="18" t="n">
        <x:v>1039.583</x:v>
      </x:c>
      <x:c r="H36" s="18" t="n">
        <x:v>997.224</x:v>
      </x:c>
      <x:c r="I36" s="2" t="str">
        <x:v>历史图表；最终状态未核验</x:v>
      </x:c>
    </x:row>
    <x:row r="37" ht="24" customHeight="1">
      <x:c r="A37" s="2" t="str">
        <x:v>2010Q3</x:v>
      </x:c>
      <x:c r="B37" s="2" t="str">
        <x:v>Materials</x:v>
      </x:c>
      <x:c r="C37" s="2" t="str">
        <x:v>材料</x:v>
      </x:c>
      <x:c r="D37" s="16" t="n">
        <x:v>3.01</x:v>
      </x:c>
      <x:c r="E37" s="17" t="str">
        <x:v>曲线近似值</x:v>
      </x:c>
      <x:c r="F37" s="18" t="n">
        <x:v>0.0719</x:v>
      </x:c>
      <x:c r="G37" s="18" t="n">
        <x:v>1039.583</x:v>
      </x:c>
      <x:c r="H37" s="18" t="n">
        <x:v>1328.931</x:v>
      </x:c>
      <x:c r="I37" s="2" t="str">
        <x:v>历史图表；最终状态未核验</x:v>
      </x:c>
    </x:row>
    <x:row r="38" ht="24" customHeight="1">
      <x:c r="A38" s="2" t="str">
        <x:v>2010Q3</x:v>
      </x:c>
      <x:c r="B38" s="2" t="str">
        <x:v>Utilities</x:v>
      </x:c>
      <x:c r="C38" s="2" t="str">
        <x:v>公用事业</x:v>
      </x:c>
      <x:c r="D38" s="16" t="n">
        <x:v>4.261</x:v>
      </x:c>
      <x:c r="E38" s="17" t="str">
        <x:v>曲线近似值</x:v>
      </x:c>
      <x:c r="F38" s="18" t="n">
        <x:v>0.036</x:v>
      </x:c>
      <x:c r="G38" s="18" t="n">
        <x:v>1039.583</x:v>
      </x:c>
      <x:c r="H38" s="18" t="n">
        <x:v>1889.316</x:v>
      </x:c>
      <x:c r="I38" s="2" t="str">
        <x:v>历史图表；最终状态未核验</x:v>
      </x:c>
    </x:row>
    <x:row r="39" ht="24" customHeight="1">
      <x:c r="A39" s="2" t="str">
        <x:v>2010Q4</x:v>
      </x:c>
      <x:c r="B39" s="2" t="str">
        <x:v>Communication Services</x:v>
      </x:c>
      <x:c r="C39" s="2" t="str">
        <x:v>通信服务</x:v>
      </x:c>
      <x:c r="D39" s="16" t="n">
        <x:v>1.679</x:v>
      </x:c>
      <x:c r="E39" s="17" t="str">
        <x:v>曲线近似值</x:v>
      </x:c>
      <x:c r="F39" s="18" t="n">
        <x:v>0.0862</x:v>
      </x:c>
      <x:c r="G39" s="18" t="n">
        <x:v>91.606</x:v>
      </x:c>
      <x:c r="H39" s="18" t="n">
        <x:v>660.533</x:v>
      </x:c>
      <x:c r="I39" s="2" t="str">
        <x:v>历史图表；最终状态未核验</x:v>
      </x:c>
    </x:row>
    <x:row r="40" ht="24" customHeight="1">
      <x:c r="A40" s="2" t="str">
        <x:v>2010Q4</x:v>
      </x:c>
      <x:c r="B40" s="2" t="str">
        <x:v>Consumer Discretionary</x:v>
      </x:c>
      <x:c r="C40" s="2" t="str">
        <x:v>可选消费</x:v>
      </x:c>
      <x:c r="D40" s="16" t="n">
        <x:v>5.186</x:v>
      </x:c>
      <x:c r="E40" s="17" t="str">
        <x:v>曲线近似值</x:v>
      </x:c>
      <x:c r="F40" s="18" t="n">
        <x:v>0.2154</x:v>
      </x:c>
      <x:c r="G40" s="18" t="n">
        <x:v>91.606</x:v>
      </x:c>
      <x:c r="H40" s="18" t="n">
        <x:v>980.358</x:v>
      </x:c>
      <x:c r="I40" s="2" t="str">
        <x:v>历史图表；最终状态未核验</x:v>
      </x:c>
    </x:row>
    <x:row r="41" ht="24" customHeight="1">
      <x:c r="A41" s="2" t="str">
        <x:v>2010Q4</x:v>
      </x:c>
      <x:c r="B41" s="2" t="str">
        <x:v>Consumer Staples</x:v>
      </x:c>
      <x:c r="C41" s="2" t="str">
        <x:v>必需消费</x:v>
      </x:c>
      <x:c r="D41" s="16" t="n">
        <x:v>5.952</x:v>
      </x:c>
      <x:c r="E41" s="17" t="str">
        <x:v>曲线近似值</x:v>
      </x:c>
      <x:c r="F41" s="18" t="n">
        <x:v>0.0504</x:v>
      </x:c>
      <x:c r="G41" s="18" t="n">
        <x:v>91.606</x:v>
      </x:c>
      <x:c r="H41" s="18" t="n">
        <x:v>1279.464</x:v>
      </x:c>
      <x:c r="I41" s="2" t="str">
        <x:v>历史图表；最终状态未核验</x:v>
      </x:c>
    </x:row>
    <x:row r="42" ht="24" customHeight="1">
      <x:c r="A42" s="2" t="str">
        <x:v>2010Q4</x:v>
      </x:c>
      <x:c r="B42" s="2" t="str">
        <x:v>Energy</x:v>
      </x:c>
      <x:c r="C42" s="2" t="str">
        <x:v>能源</x:v>
      </x:c>
      <x:c r="D42" s="16" t="n">
        <x:v>9.68</x:v>
      </x:c>
      <x:c r="E42" s="17" t="str">
        <x:v>曲线近似值</x:v>
      </x:c>
      <x:c r="F42" s="18" t="n">
        <x:v>0.2158</x:v>
      </x:c>
      <x:c r="G42" s="18" t="n">
        <x:v>91.606</x:v>
      </x:c>
      <x:c r="H42" s="18" t="n">
        <x:v>1549.965</x:v>
      </x:c>
      <x:c r="I42" s="2" t="str">
        <x:v>历史图表；最终状态未核验</x:v>
      </x:c>
    </x:row>
    <x:row r="43" ht="24" customHeight="1">
      <x:c r="A43" s="2" t="str">
        <x:v>2010Q4</x:v>
      </x:c>
      <x:c r="B43" s="2" t="str">
        <x:v>Financials</x:v>
      </x:c>
      <x:c r="C43" s="2" t="str">
        <x:v>金融</x:v>
      </x:c>
      <x:c r="D43" s="16" t="n">
        <x:v>3.7</x:v>
      </x:c>
      <x:c r="E43" s="17" t="str">
        <x:v>曲线近似值</x:v>
      </x:c>
      <x:c r="F43" s="18" t="n">
        <x:v>0.1007</x:v>
      </x:c>
      <x:c r="G43" s="18" t="n">
        <x:v>91.606</x:v>
      </x:c>
      <x:c r="H43" s="18" t="n">
        <x:v>1981.242</x:v>
      </x:c>
      <x:c r="I43" s="2" t="str">
        <x:v>历史图表；最终状态未核验</x:v>
      </x:c>
    </x:row>
    <x:row r="44" ht="24" customHeight="1">
      <x:c r="A44" s="2" t="str">
        <x:v>2010Q4</x:v>
      </x:c>
      <x:c r="B44" s="2" t="str">
        <x:v>Health Care</x:v>
      </x:c>
      <x:c r="C44" s="2" t="str">
        <x:v>医疗保健</x:v>
      </x:c>
      <x:c r="D44" s="16" t="n">
        <x:v>7.747</x:v>
      </x:c>
      <x:c r="E44" s="17" t="str">
        <x:v>曲线近似值</x:v>
      </x:c>
      <x:c r="F44" s="18" t="n">
        <x:v>0.173</x:v>
      </x:c>
      <x:c r="G44" s="18" t="n">
        <x:v>1051.606</x:v>
      </x:c>
      <x:c r="H44" s="18" t="n">
        <x:v>339.248</x:v>
      </x:c>
      <x:c r="I44" s="2" t="str">
        <x:v>历史图表；最终状态未核验</x:v>
      </x:c>
    </x:row>
    <x:row r="45" ht="24" customHeight="1">
      <x:c r="A45" s="2" t="str">
        <x:v>2010Q4</x:v>
      </x:c>
      <x:c r="B45" s="2" t="str">
        <x:v>Industrials</x:v>
      </x:c>
      <x:c r="C45" s="2" t="str">
        <x:v>工业</x:v>
      </x:c>
      <x:c r="D45" s="16" t="n">
        <x:v>5.076</x:v>
      </x:c>
      <x:c r="E45" s="17" t="str">
        <x:v>曲线近似值</x:v>
      </x:c>
      <x:c r="F45" s="18" t="n">
        <x:v>0.1149</x:v>
      </x:c>
      <x:c r="G45" s="18" t="n">
        <x:v>1051.606</x:v>
      </x:c>
      <x:c r="H45" s="18" t="n">
        <x:v>611.144</x:v>
      </x:c>
      <x:c r="I45" s="2" t="str">
        <x:v>历史图表；最终状态未核验</x:v>
      </x:c>
    </x:row>
    <x:row r="46" ht="24" customHeight="1">
      <x:c r="A46" s="2" t="str">
        <x:v>2010Q4</x:v>
      </x:c>
      <x:c r="B46" s="2" t="str">
        <x:v>Information Technology</x:v>
      </x:c>
      <x:c r="C46" s="2" t="str">
        <x:v>信息技术</x:v>
      </x:c>
      <x:c r="D46" s="16" t="n">
        <x:v>8.824</x:v>
      </x:c>
      <x:c r="E46" s="17" t="str">
        <x:v>曲线近似值</x:v>
      </x:c>
      <x:c r="F46" s="18" t="n">
        <x:v>0.5027</x:v>
      </x:c>
      <x:c r="G46" s="18" t="n">
        <x:v>1051.606</x:v>
      </x:c>
      <x:c r="H46" s="18" t="n">
        <x:v>993.392</x:v>
      </x:c>
      <x:c r="I46" s="2" t="str">
        <x:v>历史图表；最终状态未核验</x:v>
      </x:c>
    </x:row>
    <x:row r="47" ht="24" customHeight="1">
      <x:c r="A47" s="2" t="str">
        <x:v>2010Q4</x:v>
      </x:c>
      <x:c r="B47" s="2" t="str">
        <x:v>Materials</x:v>
      </x:c>
      <x:c r="C47" s="2" t="str">
        <x:v>材料</x:v>
      </x:c>
      <x:c r="D47" s="16" t="n">
        <x:v>3.257</x:v>
      </x:c>
      <x:c r="E47" s="17" t="str">
        <x:v>曲线近似值</x:v>
      </x:c>
      <x:c r="F47" s="18" t="n">
        <x:v>0.0719</x:v>
      </x:c>
      <x:c r="G47" s="18" t="n">
        <x:v>1051.606</x:v>
      </x:c>
      <x:c r="H47" s="18" t="n">
        <x:v>1322.045</x:v>
      </x:c>
      <x:c r="I47" s="2" t="str">
        <x:v>历史图表；最终状态未核验</x:v>
      </x:c>
    </x:row>
    <x:row r="48" ht="24" customHeight="1">
      <x:c r="A48" s="2" t="str">
        <x:v>2010Q4</x:v>
      </x:c>
      <x:c r="B48" s="2" t="str">
        <x:v>Utilities</x:v>
      </x:c>
      <x:c r="C48" s="2" t="str">
        <x:v>公用事业</x:v>
      </x:c>
      <x:c r="D48" s="16" t="n">
        <x:v>2.424</x:v>
      </x:c>
      <x:c r="E48" s="17" t="str">
        <x:v>曲线近似值</x:v>
      </x:c>
      <x:c r="F48" s="18" t="n">
        <x:v>0.036</x:v>
      </x:c>
      <x:c r="G48" s="18" t="n">
        <x:v>1051.606</x:v>
      </x:c>
      <x:c r="H48" s="18" t="n">
        <x:v>1991.417</x:v>
      </x:c>
      <x:c r="I48" s="2" t="str">
        <x:v>历史图表；最终状态未核验</x:v>
      </x:c>
    </x:row>
    <x:row r="49" ht="24" customHeight="1">
      <x:c r="A49" s="2" t="str">
        <x:v>2011Q1</x:v>
      </x:c>
      <x:c r="B49" s="2" t="str">
        <x:v>Communication Services</x:v>
      </x:c>
      <x:c r="C49" s="2" t="str">
        <x:v>通信服务</x:v>
      </x:c>
      <x:c r="D49" s="16" t="n">
        <x:v>1.842</x:v>
      </x:c>
      <x:c r="E49" s="17" t="str">
        <x:v>曲线近似值</x:v>
      </x:c>
      <x:c r="F49" s="18" t="n">
        <x:v>0.0862</x:v>
      </x:c>
      <x:c r="G49" s="18" t="n">
        <x:v>103.618</x:v>
      </x:c>
      <x:c r="H49" s="18" t="n">
        <x:v>656.739</x:v>
      </x:c>
      <x:c r="I49" s="2" t="str">
        <x:v>历史图表；最终状态未核验</x:v>
      </x:c>
    </x:row>
    <x:row r="50" ht="24" customHeight="1">
      <x:c r="A50" s="2" t="str">
        <x:v>2011Q1</x:v>
      </x:c>
      <x:c r="B50" s="2" t="str">
        <x:v>Consumer Discretionary</x:v>
      </x:c>
      <x:c r="C50" s="2" t="str">
        <x:v>可选消费</x:v>
      </x:c>
      <x:c r="D50" s="16" t="n">
        <x:v>4.758</x:v>
      </x:c>
      <x:c r="E50" s="17" t="str">
        <x:v>曲线近似值</x:v>
      </x:c>
      <x:c r="F50" s="18" t="n">
        <x:v>0.2154</x:v>
      </x:c>
      <x:c r="G50" s="18" t="n">
        <x:v>103.618</x:v>
      </x:c>
      <x:c r="H50" s="18" t="n">
        <x:v>984.333</x:v>
      </x:c>
      <x:c r="I50" s="2" t="str">
        <x:v>历史图表；最终状态未核验</x:v>
      </x:c>
    </x:row>
    <x:row r="51" ht="24" customHeight="1">
      <x:c r="A51" s="2" t="str">
        <x:v>2011Q1</x:v>
      </x:c>
      <x:c r="B51" s="2" t="str">
        <x:v>Consumer Staples</x:v>
      </x:c>
      <x:c r="C51" s="2" t="str">
        <x:v>必需消费</x:v>
      </x:c>
      <x:c r="D51" s="16" t="n">
        <x:v>5.268</x:v>
      </x:c>
      <x:c r="E51" s="17" t="str">
        <x:v>曲线近似值</x:v>
      </x:c>
      <x:c r="F51" s="18" t="n">
        <x:v>0.0504</x:v>
      </x:c>
      <x:c r="G51" s="18" t="n">
        <x:v>103.618</x:v>
      </x:c>
      <x:c r="H51" s="18" t="n">
        <x:v>1306.658</x:v>
      </x:c>
      <x:c r="I51" s="2" t="str">
        <x:v>历史图表；最终状态未核验</x:v>
      </x:c>
    </x:row>
    <x:row r="52" ht="24" customHeight="1">
      <x:c r="A52" s="2" t="str">
        <x:v>2011Q1</x:v>
      </x:c>
      <x:c r="B52" s="2" t="str">
        <x:v>Energy</x:v>
      </x:c>
      <x:c r="C52" s="2" t="str">
        <x:v>能源</x:v>
      </x:c>
      <x:c r="D52" s="16" t="n">
        <x:v>11.382</x:v>
      </x:c>
      <x:c r="E52" s="17" t="str">
        <x:v>曲线近似值</x:v>
      </x:c>
      <x:c r="F52" s="18" t="n">
        <x:v>0.2158</x:v>
      </x:c>
      <x:c r="G52" s="18" t="n">
        <x:v>103.618</x:v>
      </x:c>
      <x:c r="H52" s="18" t="n">
        <x:v>1534.191</x:v>
      </x:c>
      <x:c r="I52" s="2" t="str">
        <x:v>历史图表；最终状态未核验</x:v>
      </x:c>
    </x:row>
    <x:row r="53" ht="24" customHeight="1">
      <x:c r="A53" s="2" t="str">
        <x:v>2011Q1</x:v>
      </x:c>
      <x:c r="B53" s="2" t="str">
        <x:v>Financials</x:v>
      </x:c>
      <x:c r="C53" s="2" t="str">
        <x:v>金融</x:v>
      </x:c>
      <x:c r="D53" s="16" t="n">
        <x:v>4.146</x:v>
      </x:c>
      <x:c r="E53" s="17" t="str">
        <x:v>曲线近似值</x:v>
      </x:c>
      <x:c r="F53" s="18" t="n">
        <x:v>0.1007</x:v>
      </x:c>
      <x:c r="G53" s="18" t="n">
        <x:v>103.618</x:v>
      </x:c>
      <x:c r="H53" s="18" t="n">
        <x:v>1972.382</x:v>
      </x:c>
      <x:c r="I53" s="2" t="str">
        <x:v>历史图表；最终状态未核验</x:v>
      </x:c>
    </x:row>
    <x:row r="54" ht="24" customHeight="1">
      <x:c r="A54" s="2" t="str">
        <x:v>2011Q1</x:v>
      </x:c>
      <x:c r="B54" s="2" t="str">
        <x:v>Health Care</x:v>
      </x:c>
      <x:c r="C54" s="2" t="str">
        <x:v>医疗保健</x:v>
      </x:c>
      <x:c r="D54" s="16" t="n">
        <x:v>8.505</x:v>
      </x:c>
      <x:c r="E54" s="17" t="str">
        <x:v>曲线近似值</x:v>
      </x:c>
      <x:c r="F54" s="18" t="n">
        <x:v>0.173</x:v>
      </x:c>
      <x:c r="G54" s="18" t="n">
        <x:v>1063.618</x:v>
      </x:c>
      <x:c r="H54" s="18" t="n">
        <x:v>330.477</x:v>
      </x:c>
      <x:c r="I54" s="2" t="str">
        <x:v>历史图表；最终状态未核验</x:v>
      </x:c>
    </x:row>
    <x:row r="55" ht="24" customHeight="1">
      <x:c r="A55" s="2" t="str">
        <x:v>2011Q1</x:v>
      </x:c>
      <x:c r="B55" s="2" t="str">
        <x:v>Industrials</x:v>
      </x:c>
      <x:c r="C55" s="2" t="str">
        <x:v>工业</x:v>
      </x:c>
      <x:c r="D55" s="16" t="n">
        <x:v>4.771</x:v>
      </x:c>
      <x:c r="E55" s="17" t="str">
        <x:v>曲线近似值</x:v>
      </x:c>
      <x:c r="F55" s="18" t="n">
        <x:v>0.1149</x:v>
      </x:c>
      <x:c r="G55" s="18" t="n">
        <x:v>1063.618</x:v>
      </x:c>
      <x:c r="H55" s="18" t="n">
        <x:v>616.456</x:v>
      </x:c>
      <x:c r="I55" s="2" t="str">
        <x:v>历史图表；最终状态未核验</x:v>
      </x:c>
    </x:row>
    <x:row r="56" ht="24" customHeight="1">
      <x:c r="A56" s="2" t="str">
        <x:v>2011Q1</x:v>
      </x:c>
      <x:c r="B56" s="2" t="str">
        <x:v>Information Technology</x:v>
      </x:c>
      <x:c r="C56" s="2" t="str">
        <x:v>信息技术</x:v>
      </x:c>
      <x:c r="D56" s="16" t="n">
        <x:v>8.18</x:v>
      </x:c>
      <x:c r="E56" s="17" t="str">
        <x:v>曲线近似值</x:v>
      </x:c>
      <x:c r="F56" s="18" t="n">
        <x:v>0.5027</x:v>
      </x:c>
      <x:c r="G56" s="18" t="n">
        <x:v>1063.618</x:v>
      </x:c>
      <x:c r="H56" s="18" t="n">
        <x:v>995.954</x:v>
      </x:c>
      <x:c r="I56" s="2" t="str">
        <x:v>历史图表；最终状态未核验</x:v>
      </x:c>
    </x:row>
    <x:row r="57" ht="24" customHeight="1">
      <x:c r="A57" s="2" t="str">
        <x:v>2011Q1</x:v>
      </x:c>
      <x:c r="B57" s="2" t="str">
        <x:v>Materials</x:v>
      </x:c>
      <x:c r="C57" s="2" t="str">
        <x:v>材料</x:v>
      </x:c>
      <x:c r="D57" s="16" t="n">
        <x:v>4.84</x:v>
      </x:c>
      <x:c r="E57" s="17" t="str">
        <x:v>曲线近似值</x:v>
      </x:c>
      <x:c r="F57" s="18" t="n">
        <x:v>0.0719</x:v>
      </x:c>
      <x:c r="G57" s="18" t="n">
        <x:v>1063.618</x:v>
      </x:c>
      <x:c r="H57" s="18" t="n">
        <x:v>1278.042</x:v>
      </x:c>
      <x:c r="I57" s="2" t="str">
        <x:v>历史图表；最终状态未核验</x:v>
      </x:c>
    </x:row>
    <x:row r="58" ht="24" customHeight="1">
      <x:c r="A58" s="2" t="str">
        <x:v>2011Q1</x:v>
      </x:c>
      <x:c r="B58" s="2" t="str">
        <x:v>Utilities</x:v>
      </x:c>
      <x:c r="C58" s="2" t="str">
        <x:v>公用事业</x:v>
      </x:c>
      <x:c r="D58" s="16" t="n">
        <x:v>3.498</x:v>
      </x:c>
      <x:c r="E58" s="17" t="str">
        <x:v>曲线近似值</x:v>
      </x:c>
      <x:c r="F58" s="18" t="n">
        <x:v>0.036</x:v>
      </x:c>
      <x:c r="G58" s="18" t="n">
        <x:v>1063.618</x:v>
      </x:c>
      <x:c r="H58" s="18" t="n">
        <x:v>1931.732</x:v>
      </x:c>
      <x:c r="I58" s="2" t="str">
        <x:v>历史图表；最终状态未核验</x:v>
      </x:c>
    </x:row>
    <x:row r="59" ht="24" customHeight="1">
      <x:c r="A59" s="2" t="str">
        <x:v>2011Q2</x:v>
      </x:c>
      <x:c r="B59" s="2" t="str">
        <x:v>Communication Services</x:v>
      </x:c>
      <x:c r="C59" s="2" t="str">
        <x:v>通信服务</x:v>
      </x:c>
      <x:c r="D59" s="16" t="n">
        <x:v>2.072</x:v>
      </x:c>
      <x:c r="E59" s="17" t="str">
        <x:v>曲线近似值</x:v>
      </x:c>
      <x:c r="F59" s="18" t="n">
        <x:v>0.0862</x:v>
      </x:c>
      <x:c r="G59" s="18" t="n">
        <x:v>115.588</x:v>
      </x:c>
      <x:c r="H59" s="18" t="n">
        <x:v>651.401</x:v>
      </x:c>
      <x:c r="I59" s="2" t="str">
        <x:v>历史图表；最终状态未核验</x:v>
      </x:c>
    </x:row>
    <x:row r="60" ht="24" customHeight="1">
      <x:c r="A60" s="2" t="str">
        <x:v>2011Q2</x:v>
      </x:c>
      <x:c r="B60" s="2" t="str">
        <x:v>Consumer Discretionary</x:v>
      </x:c>
      <x:c r="C60" s="2" t="str">
        <x:v>可选消费</x:v>
      </x:c>
      <x:c r="D60" s="16" t="n">
        <x:v>5.472</x:v>
      </x:c>
      <x:c r="E60" s="17" t="str">
        <x:v>曲线近似值</x:v>
      </x:c>
      <x:c r="F60" s="18" t="n">
        <x:v>0.2154</x:v>
      </x:c>
      <x:c r="G60" s="18" t="n">
        <x:v>115.588</x:v>
      </x:c>
      <x:c r="H60" s="18" t="n">
        <x:v>977.7</x:v>
      </x:c>
      <x:c r="I60" s="2" t="str">
        <x:v>历史图表；最终状态未核验</x:v>
      </x:c>
    </x:row>
    <x:row r="61" ht="24" customHeight="1">
      <x:c r="A61" s="2" t="str">
        <x:v>2011Q2</x:v>
      </x:c>
      <x:c r="B61" s="2" t="str">
        <x:v>Consumer Staples</x:v>
      </x:c>
      <x:c r="C61" s="2" t="str">
        <x:v>必需消费</x:v>
      </x:c>
      <x:c r="D61" s="16" t="n">
        <x:v>5.991</x:v>
      </x:c>
      <x:c r="E61" s="17" t="str">
        <x:v>曲线近似值</x:v>
      </x:c>
      <x:c r="F61" s="18" t="n">
        <x:v>0.0504</x:v>
      </x:c>
      <x:c r="G61" s="18" t="n">
        <x:v>115.588</x:v>
      </x:c>
      <x:c r="H61" s="18" t="n">
        <x:v>1277.948</x:v>
      </x:c>
      <x:c r="I61" s="2" t="str">
        <x:v>历史图表；最终状态未核验</x:v>
      </x:c>
    </x:row>
    <x:row r="62" ht="24" customHeight="1">
      <x:c r="A62" s="2" t="str">
        <x:v>2011Q2</x:v>
      </x:c>
      <x:c r="B62" s="2" t="str">
        <x:v>Energy</x:v>
      </x:c>
      <x:c r="C62" s="2" t="str">
        <x:v>能源</x:v>
      </x:c>
      <x:c r="D62" s="16" t="n">
        <x:v>12.96</x:v>
      </x:c>
      <x:c r="E62" s="17" t="str">
        <x:v>曲线近似值</x:v>
      </x:c>
      <x:c r="F62" s="18" t="n">
        <x:v>0.2158</x:v>
      </x:c>
      <x:c r="G62" s="18" t="n">
        <x:v>115.588</x:v>
      </x:c>
      <x:c r="H62" s="18" t="n">
        <x:v>1519.567</x:v>
      </x:c>
      <x:c r="I62" s="2" t="str">
        <x:v>历史图表；最终状态未核验</x:v>
      </x:c>
    </x:row>
    <x:row r="63" ht="24" customHeight="1">
      <x:c r="A63" s="2" t="str">
        <x:v>2011Q2</x:v>
      </x:c>
      <x:c r="B63" s="2" t="str">
        <x:v>Financials</x:v>
      </x:c>
      <x:c r="C63" s="2" t="str">
        <x:v>金融</x:v>
      </x:c>
      <x:c r="D63" s="16" t="n">
        <x:v>2.841</x:v>
      </x:c>
      <x:c r="E63" s="17" t="str">
        <x:v>曲线近似值</x:v>
      </x:c>
      <x:c r="F63" s="18" t="n">
        <x:v>0.1007</x:v>
      </x:c>
      <x:c r="G63" s="18" t="n">
        <x:v>115.588</x:v>
      </x:c>
      <x:c r="H63" s="18" t="n">
        <x:v>1998.294</x:v>
      </x:c>
      <x:c r="I63" s="2" t="str">
        <x:v>历史图表；最终状态未核验</x:v>
      </x:c>
    </x:row>
    <x:row r="64" ht="24" customHeight="1">
      <x:c r="A64" s="2" t="str">
        <x:v>2011Q2</x:v>
      </x:c>
      <x:c r="B64" s="2" t="str">
        <x:v>Health Care</x:v>
      </x:c>
      <x:c r="C64" s="2" t="str">
        <x:v>医疗保健</x:v>
      </x:c>
      <x:c r="D64" s="16" t="n">
        <x:v>8.638</x:v>
      </x:c>
      <x:c r="E64" s="17" t="str">
        <x:v>曲线近似值</x:v>
      </x:c>
      <x:c r="F64" s="18" t="n">
        <x:v>0.173</x:v>
      </x:c>
      <x:c r="G64" s="18" t="n">
        <x:v>1075.588</x:v>
      </x:c>
      <x:c r="H64" s="18" t="n">
        <x:v>328.94</x:v>
      </x:c>
      <x:c r="I64" s="2" t="str">
        <x:v>历史图表；最终状态未核验</x:v>
      </x:c>
    </x:row>
    <x:row r="65" ht="24" customHeight="1">
      <x:c r="A65" s="2" t="str">
        <x:v>2011Q2</x:v>
      </x:c>
      <x:c r="B65" s="2" t="str">
        <x:v>Industrials</x:v>
      </x:c>
      <x:c r="C65" s="2" t="str">
        <x:v>工业</x:v>
      </x:c>
      <x:c r="D65" s="16" t="n">
        <x:v>5.536</x:v>
      </x:c>
      <x:c r="E65" s="17" t="str">
        <x:v>曲线近似值</x:v>
      </x:c>
      <x:c r="F65" s="18" t="n">
        <x:v>0.1149</x:v>
      </x:c>
      <x:c r="G65" s="18" t="n">
        <x:v>1075.588</x:v>
      </x:c>
      <x:c r="H65" s="18" t="n">
        <x:v>603.137</x:v>
      </x:c>
      <x:c r="I65" s="2" t="str">
        <x:v>历史图表；最终状态未核验</x:v>
      </x:c>
    </x:row>
    <x:row r="66" ht="24" customHeight="1">
      <x:c r="A66" s="2" t="str">
        <x:v>2011Q2</x:v>
      </x:c>
      <x:c r="B66" s="2" t="str">
        <x:v>Information Technology</x:v>
      </x:c>
      <x:c r="C66" s="2" t="str">
        <x:v>信息技术</x:v>
      </x:c>
      <x:c r="D66" s="16" t="n">
        <x:v>8.812</x:v>
      </x:c>
      <x:c r="E66" s="17" t="str">
        <x:v>曲线近似值</x:v>
      </x:c>
      <x:c r="F66" s="18" t="n">
        <x:v>0.5027</x:v>
      </x:c>
      <x:c r="G66" s="18" t="n">
        <x:v>1075.588</x:v>
      </x:c>
      <x:c r="H66" s="18" t="n">
        <x:v>993.44</x:v>
      </x:c>
      <x:c r="I66" s="2" t="str">
        <x:v>历史图表；最终状态未核验</x:v>
      </x:c>
    </x:row>
    <x:row r="67" ht="24" customHeight="1">
      <x:c r="A67" s="2" t="str">
        <x:v>2011Q2</x:v>
      </x:c>
      <x:c r="B67" s="2" t="str">
        <x:v>Materials</x:v>
      </x:c>
      <x:c r="C67" s="2" t="str">
        <x:v>材料</x:v>
      </x:c>
      <x:c r="D67" s="16" t="n">
        <x:v>5.636</x:v>
      </x:c>
      <x:c r="E67" s="17" t="str">
        <x:v>曲线近似值</x:v>
      </x:c>
      <x:c r="F67" s="18" t="n">
        <x:v>0.0719</x:v>
      </x:c>
      <x:c r="G67" s="18" t="n">
        <x:v>1075.588</x:v>
      </x:c>
      <x:c r="H67" s="18" t="n">
        <x:v>1255.927</x:v>
      </x:c>
      <x:c r="I67" s="2" t="str">
        <x:v>历史图表；最终状态未核验</x:v>
      </x:c>
    </x:row>
    <x:row r="68" ht="24" customHeight="1">
      <x:c r="A68" s="2" t="str">
        <x:v>2011Q2</x:v>
      </x:c>
      <x:c r="B68" s="2" t="str">
        <x:v>Utilities</x:v>
      </x:c>
      <x:c r="C68" s="2" t="str">
        <x:v>公用事业</x:v>
      </x:c>
      <x:c r="D68" s="16" t="n">
        <x:v>3.19</x:v>
      </x:c>
      <x:c r="E68" s="17" t="str">
        <x:v>曲线近似值</x:v>
      </x:c>
      <x:c r="F68" s="18" t="n">
        <x:v>0.036</x:v>
      </x:c>
      <x:c r="G68" s="18" t="n">
        <x:v>1075.588</x:v>
      </x:c>
      <x:c r="H68" s="18" t="n">
        <x:v>1948.83</x:v>
      </x:c>
      <x:c r="I68" s="2" t="str">
        <x:v>历史图表；最终状态未核验</x:v>
      </x:c>
    </x:row>
    <x:row r="69" ht="24" customHeight="1">
      <x:c r="A69" s="2" t="str">
        <x:v>2011Q3</x:v>
      </x:c>
      <x:c r="B69" s="2" t="str">
        <x:v>Communication Services</x:v>
      </x:c>
      <x:c r="C69" s="2" t="str">
        <x:v>通信服务</x:v>
      </x:c>
      <x:c r="D69" s="16" t="n">
        <x:v>1.953</x:v>
      </x:c>
      <x:c r="E69" s="17" t="str">
        <x:v>曲线近似值</x:v>
      </x:c>
      <x:c r="F69" s="18" t="n">
        <x:v>0.0862</x:v>
      </x:c>
      <x:c r="G69" s="18" t="n">
        <x:v>127.667</x:v>
      </x:c>
      <x:c r="H69" s="18" t="n">
        <x:v>654.169</x:v>
      </x:c>
      <x:c r="I69" s="2" t="str">
        <x:v>历史图表；最终状态未核验</x:v>
      </x:c>
    </x:row>
    <x:row r="70" ht="24" customHeight="1">
      <x:c r="A70" s="2" t="str">
        <x:v>2011Q3</x:v>
      </x:c>
      <x:c r="B70" s="2" t="str">
        <x:v>Consumer Discretionary</x:v>
      </x:c>
      <x:c r="C70" s="2" t="str">
        <x:v>可选消费</x:v>
      </x:c>
      <x:c r="D70" s="16" t="n">
        <x:v>5.038</x:v>
      </x:c>
      <x:c r="E70" s="17" t="str">
        <x:v>曲线近似值</x:v>
      </x:c>
      <x:c r="F70" s="18" t="n">
        <x:v>0.2154</x:v>
      </x:c>
      <x:c r="G70" s="18" t="n">
        <x:v>127.667</x:v>
      </x:c>
      <x:c r="H70" s="18" t="n">
        <x:v>981.731</x:v>
      </x:c>
      <x:c r="I70" s="2" t="str">
        <x:v>历史图表；最终状态未核验</x:v>
      </x:c>
    </x:row>
    <x:row r="71" ht="24" customHeight="1">
      <x:c r="A71" s="2" t="str">
        <x:v>2011Q3</x:v>
      </x:c>
      <x:c r="B71" s="2" t="str">
        <x:v>Consumer Staples</x:v>
      </x:c>
      <x:c r="C71" s="2" t="str">
        <x:v>必需消费</x:v>
      </x:c>
      <x:c r="D71" s="16" t="n">
        <x:v>6.087</x:v>
      </x:c>
      <x:c r="E71" s="17" t="str">
        <x:v>曲线近似值</x:v>
      </x:c>
      <x:c r="F71" s="18" t="n">
        <x:v>0.0504</x:v>
      </x:c>
      <x:c r="G71" s="18" t="n">
        <x:v>127.667</x:v>
      </x:c>
      <x:c r="H71" s="18" t="n">
        <x:v>1274.116</x:v>
      </x:c>
      <x:c r="I71" s="2" t="str">
        <x:v>历史图表；最终状态未核验</x:v>
      </x:c>
    </x:row>
    <x:row r="72" ht="24" customHeight="1">
      <x:c r="A72" s="2" t="str">
        <x:v>2011Q3</x:v>
      </x:c>
      <x:c r="B72" s="2" t="str">
        <x:v>Energy</x:v>
      </x:c>
      <x:c r="C72" s="2" t="str">
        <x:v>能源</x:v>
      </x:c>
      <x:c r="D72" s="16" t="n">
        <x:v>12.944</x:v>
      </x:c>
      <x:c r="E72" s="17" t="str">
        <x:v>曲线近似值</x:v>
      </x:c>
      <x:c r="F72" s="18" t="n">
        <x:v>0.2158</x:v>
      </x:c>
      <x:c r="G72" s="18" t="n">
        <x:v>127.667</x:v>
      </x:c>
      <x:c r="H72" s="18" t="n">
        <x:v>1519.723</x:v>
      </x:c>
      <x:c r="I72" s="2" t="str">
        <x:v>历史图表；最终状态未核验</x:v>
      </x:c>
    </x:row>
    <x:row r="73" ht="24" customHeight="1">
      <x:c r="A73" s="2" t="str">
        <x:v>2011Q3</x:v>
      </x:c>
      <x:c r="B73" s="2" t="str">
        <x:v>Financials</x:v>
      </x:c>
      <x:c r="C73" s="2" t="str">
        <x:v>金融</x:v>
      </x:c>
      <x:c r="D73" s="16" t="n">
        <x:v>4.425</x:v>
      </x:c>
      <x:c r="E73" s="17" t="str">
        <x:v>曲线近似值</x:v>
      </x:c>
      <x:c r="F73" s="18" t="n">
        <x:v>0.1007</x:v>
      </x:c>
      <x:c r="G73" s="18" t="n">
        <x:v>127.667</x:v>
      </x:c>
      <x:c r="H73" s="18" t="n">
        <x:v>1966.841</x:v>
      </x:c>
      <x:c r="I73" s="2" t="str">
        <x:v>历史图表；最终状态未核验</x:v>
      </x:c>
    </x:row>
    <x:row r="74" ht="24" customHeight="1">
      <x:c r="A74" s="2" t="str">
        <x:v>2011Q3</x:v>
      </x:c>
      <x:c r="B74" s="2" t="str">
        <x:v>Health Care</x:v>
      </x:c>
      <x:c r="C74" s="2" t="str">
        <x:v>医疗保健</x:v>
      </x:c>
      <x:c r="D74" s="16" t="n">
        <x:v>8.626</x:v>
      </x:c>
      <x:c r="E74" s="17" t="str">
        <x:v>曲线近似值</x:v>
      </x:c>
      <x:c r="F74" s="18" t="n">
        <x:v>0.173</x:v>
      </x:c>
      <x:c r="G74" s="18" t="n">
        <x:v>1087.667</x:v>
      </x:c>
      <x:c r="H74" s="18" t="n">
        <x:v>329.085</x:v>
      </x:c>
      <x:c r="I74" s="2" t="str">
        <x:v>历史图表；最终状态未核验</x:v>
      </x:c>
    </x:row>
    <x:row r="75" ht="24" customHeight="1">
      <x:c r="A75" s="2" t="str">
        <x:v>2011Q3</x:v>
      </x:c>
      <x:c r="B75" s="2" t="str">
        <x:v>Industrials</x:v>
      </x:c>
      <x:c r="C75" s="2" t="str">
        <x:v>工业</x:v>
      </x:c>
      <x:c r="D75" s="16" t="n">
        <x:v>5.439</x:v>
      </x:c>
      <x:c r="E75" s="17" t="str">
        <x:v>曲线近似值</x:v>
      </x:c>
      <x:c r="F75" s="18" t="n">
        <x:v>0.1149</x:v>
      </x:c>
      <x:c r="G75" s="18" t="n">
        <x:v>1087.667</x:v>
      </x:c>
      <x:c r="H75" s="18" t="n">
        <x:v>604.819</x:v>
      </x:c>
      <x:c r="I75" s="2" t="str">
        <x:v>历史图表；最终状态未核验</x:v>
      </x:c>
    </x:row>
    <x:row r="76" ht="24" customHeight="1">
      <x:c r="A76" s="2" t="str">
        <x:v>2011Q3</x:v>
      </x:c>
      <x:c r="B76" s="2" t="str">
        <x:v>Information Technology</x:v>
      </x:c>
      <x:c r="C76" s="2" t="str">
        <x:v>信息技术</x:v>
      </x:c>
      <x:c r="D76" s="16" t="n">
        <x:v>8.187</x:v>
      </x:c>
      <x:c r="E76" s="17" t="str">
        <x:v>曲线近似值</x:v>
      </x:c>
      <x:c r="F76" s="18" t="n">
        <x:v>0.5027</x:v>
      </x:c>
      <x:c r="G76" s="18" t="n">
        <x:v>1087.667</x:v>
      </x:c>
      <x:c r="H76" s="18" t="n">
        <x:v>995.926</x:v>
      </x:c>
      <x:c r="I76" s="2" t="str">
        <x:v>历史图表；最终状态未核验</x:v>
      </x:c>
    </x:row>
    <x:row r="77" ht="24" customHeight="1">
      <x:c r="A77" s="2" t="str">
        <x:v>2011Q3</x:v>
      </x:c>
      <x:c r="B77" s="2" t="str">
        <x:v>Materials</x:v>
      </x:c>
      <x:c r="C77" s="2" t="str">
        <x:v>材料</x:v>
      </x:c>
      <x:c r="D77" s="16" t="n">
        <x:v>4.126</x:v>
      </x:c>
      <x:c r="E77" s="17" t="str">
        <x:v>曲线近似值</x:v>
      </x:c>
      <x:c r="F77" s="18" t="n">
        <x:v>0.0719</x:v>
      </x:c>
      <x:c r="G77" s="18" t="n">
        <x:v>1087.667</x:v>
      </x:c>
      <x:c r="H77" s="18" t="n">
        <x:v>1297.883</x:v>
      </x:c>
      <x:c r="I77" s="2" t="str">
        <x:v>历史图表；最终状态未核验</x:v>
      </x:c>
    </x:row>
    <x:row r="78" ht="24" customHeight="1">
      <x:c r="A78" s="2" t="str">
        <x:v>2011Q3</x:v>
      </x:c>
      <x:c r="B78" s="2" t="str">
        <x:v>Utilities</x:v>
      </x:c>
      <x:c r="C78" s="2" t="str">
        <x:v>公用事业</x:v>
      </x:c>
      <x:c r="D78" s="16" t="n">
        <x:v>4.358</x:v>
      </x:c>
      <x:c r="E78" s="17" t="str">
        <x:v>曲线近似值</x:v>
      </x:c>
      <x:c r="F78" s="18" t="n">
        <x:v>0.036</x:v>
      </x:c>
      <x:c r="G78" s="18" t="n">
        <x:v>1087.667</x:v>
      </x:c>
      <x:c r="H78" s="18" t="n">
        <x:v>1883.899</x:v>
      </x:c>
      <x:c r="I78" s="2" t="str">
        <x:v>历史图表；最终状态未核验</x:v>
      </x:c>
    </x:row>
    <x:row r="79" ht="24" customHeight="1">
      <x:c r="A79" s="2" t="str">
        <x:v>2011Q4</x:v>
      </x:c>
      <x:c r="B79" s="2" t="str">
        <x:v>Communication Services</x:v>
      </x:c>
      <x:c r="C79" s="2" t="str">
        <x:v>通信服务</x:v>
      </x:c>
      <x:c r="D79" s="16" t="n">
        <x:v>1.28</x:v>
      </x:c>
      <x:c r="E79" s="17" t="str">
        <x:v>曲线近似值</x:v>
      </x:c>
      <x:c r="F79" s="18" t="n">
        <x:v>0.0862</x:v>
      </x:c>
      <x:c r="G79" s="18" t="n">
        <x:v>139.549</x:v>
      </x:c>
      <x:c r="H79" s="18" t="n">
        <x:v>669.782</x:v>
      </x:c>
      <x:c r="I79" s="2" t="str">
        <x:v>历史图表；最终状态未核验</x:v>
      </x:c>
    </x:row>
    <x:row r="80" ht="24" customHeight="1">
      <x:c r="A80" s="2" t="str">
        <x:v>2011Q4</x:v>
      </x:c>
      <x:c r="B80" s="2" t="str">
        <x:v>Consumer Discretionary</x:v>
      </x:c>
      <x:c r="C80" s="2" t="str">
        <x:v>可选消费</x:v>
      </x:c>
      <x:c r="D80" s="16" t="n">
        <x:v>5.606</x:v>
      </x:c>
      <x:c r="E80" s="17" t="str">
        <x:v>曲线近似值</x:v>
      </x:c>
      <x:c r="F80" s="18" t="n">
        <x:v>0.2154</x:v>
      </x:c>
      <x:c r="G80" s="18" t="n">
        <x:v>139.549</x:v>
      </x:c>
      <x:c r="H80" s="18" t="n">
        <x:v>976.454</x:v>
      </x:c>
      <x:c r="I80" s="2" t="str">
        <x:v>历史图表；最终状态未核验</x:v>
      </x:c>
    </x:row>
    <x:row r="81" ht="24" customHeight="1">
      <x:c r="A81" s="2" t="str">
        <x:v>2011Q4</x:v>
      </x:c>
      <x:c r="B81" s="2" t="str">
        <x:v>Consumer Staples</x:v>
      </x:c>
      <x:c r="C81" s="2" t="str">
        <x:v>必需消费</x:v>
      </x:c>
      <x:c r="D81" s="16" t="n">
        <x:v>6.247</x:v>
      </x:c>
      <x:c r="E81" s="17" t="str">
        <x:v>曲线近似值</x:v>
      </x:c>
      <x:c r="F81" s="18" t="n">
        <x:v>0.0504</x:v>
      </x:c>
      <x:c r="G81" s="18" t="n">
        <x:v>139.549</x:v>
      </x:c>
      <x:c r="H81" s="18" t="n">
        <x:v>1267.753</x:v>
      </x:c>
      <x:c r="I81" s="2" t="str">
        <x:v>历史图表；最终状态未核验</x:v>
      </x:c>
    </x:row>
    <x:row r="82" ht="24" customHeight="1">
      <x:c r="A82" s="2" t="str">
        <x:v>2011Q4</x:v>
      </x:c>
      <x:c r="B82" s="2" t="str">
        <x:v>Energy</x:v>
      </x:c>
      <x:c r="C82" s="2" t="str">
        <x:v>能源</x:v>
      </x:c>
      <x:c r="D82" s="16" t="n">
        <x:v>10.815</x:v>
      </x:c>
      <x:c r="E82" s="17" t="str">
        <x:v>曲线近似值</x:v>
      </x:c>
      <x:c r="F82" s="18" t="n">
        <x:v>0.2158</x:v>
      </x:c>
      <x:c r="G82" s="18" t="n">
        <x:v>139.549</x:v>
      </x:c>
      <x:c r="H82" s="18" t="n">
        <x:v>1539.449</x:v>
      </x:c>
      <x:c r="I82" s="2" t="str">
        <x:v>历史图表；最终状态未核验</x:v>
      </x:c>
    </x:row>
    <x:row r="83" ht="24" customHeight="1">
      <x:c r="A83" s="2" t="str">
        <x:v>2011Q4</x:v>
      </x:c>
      <x:c r="B83" s="2" t="str">
        <x:v>Financials</x:v>
      </x:c>
      <x:c r="C83" s="2" t="str">
        <x:v>金融</x:v>
      </x:c>
      <x:c r="D83" s="16" t="n">
        <x:v>3.881</x:v>
      </x:c>
      <x:c r="E83" s="17" t="str">
        <x:v>曲线近似值</x:v>
      </x:c>
      <x:c r="F83" s="18" t="n">
        <x:v>0.1007</x:v>
      </x:c>
      <x:c r="G83" s="18" t="n">
        <x:v>139.549</x:v>
      </x:c>
      <x:c r="H83" s="18" t="n">
        <x:v>1977.656</x:v>
      </x:c>
      <x:c r="I83" s="2" t="str">
        <x:v>历史图表；最终状态未核验</x:v>
      </x:c>
    </x:row>
    <x:row r="84" ht="24" customHeight="1">
      <x:c r="A84" s="2" t="str">
        <x:v>2011Q4</x:v>
      </x:c>
      <x:c r="B84" s="2" t="str">
        <x:v>Health Care</x:v>
      </x:c>
      <x:c r="C84" s="2" t="str">
        <x:v>医疗保健</x:v>
      </x:c>
      <x:c r="D84" s="16" t="n">
        <x:v>8.292</x:v>
      </x:c>
      <x:c r="E84" s="17" t="str">
        <x:v>曲线近似值</x:v>
      </x:c>
      <x:c r="F84" s="18" t="n">
        <x:v>0.173</x:v>
      </x:c>
      <x:c r="G84" s="18" t="n">
        <x:v>1099.549</x:v>
      </x:c>
      <x:c r="H84" s="18" t="n">
        <x:v>332.95</x:v>
      </x:c>
      <x:c r="I84" s="2" t="str">
        <x:v>历史图表；最终状态未核验</x:v>
      </x:c>
    </x:row>
    <x:row r="85" ht="24" customHeight="1">
      <x:c r="A85" s="2" t="str">
        <x:v>2011Q4</x:v>
      </x:c>
      <x:c r="B85" s="2" t="str">
        <x:v>Industrials</x:v>
      </x:c>
      <x:c r="C85" s="2" t="str">
        <x:v>工业</x:v>
      </x:c>
      <x:c r="D85" s="16" t="n">
        <x:v>5.752</x:v>
      </x:c>
      <x:c r="E85" s="17" t="str">
        <x:v>曲线近似值</x:v>
      </x:c>
      <x:c r="F85" s="18" t="n">
        <x:v>0.1149</x:v>
      </x:c>
      <x:c r="G85" s="18" t="n">
        <x:v>1099.549</x:v>
      </x:c>
      <x:c r="H85" s="18" t="n">
        <x:v>599.386</x:v>
      </x:c>
      <x:c r="I85" s="2" t="str">
        <x:v>历史图表；最终状态未核验</x:v>
      </x:c>
    </x:row>
    <x:row r="86" ht="24" customHeight="1">
      <x:c r="A86" s="2" t="str">
        <x:v>2011Q4</x:v>
      </x:c>
      <x:c r="B86" s="2" t="str">
        <x:v>Information Technology</x:v>
      </x:c>
      <x:c r="C86" s="2" t="str">
        <x:v>信息技术</x:v>
      </x:c>
      <x:c r="D86" s="16" t="n">
        <x:v>10.16</x:v>
      </x:c>
      <x:c r="E86" s="17" t="str">
        <x:v>曲线近似值</x:v>
      </x:c>
      <x:c r="F86" s="18" t="n">
        <x:v>0.5027</x:v>
      </x:c>
      <x:c r="G86" s="18" t="n">
        <x:v>1099.549</x:v>
      </x:c>
      <x:c r="H86" s="18" t="n">
        <x:v>988.079</x:v>
      </x:c>
      <x:c r="I86" s="2" t="str">
        <x:v>历史图表；最终状态未核验</x:v>
      </x:c>
    </x:row>
    <x:row r="87" ht="24" customHeight="1">
      <x:c r="A87" s="2" t="str">
        <x:v>2011Q4</x:v>
      </x:c>
      <x:c r="B87" s="2" t="str">
        <x:v>Materials</x:v>
      </x:c>
      <x:c r="C87" s="2" t="str">
        <x:v>材料</x:v>
      </x:c>
      <x:c r="D87" s="16" t="n">
        <x:v>2.876</x:v>
      </x:c>
      <x:c r="E87" s="17" t="str">
        <x:v>曲线近似值</x:v>
      </x:c>
      <x:c r="F87" s="18" t="n">
        <x:v>0.0719</x:v>
      </x:c>
      <x:c r="G87" s="18" t="n">
        <x:v>1099.549</x:v>
      </x:c>
      <x:c r="H87" s="18" t="n">
        <x:v>1332.641</x:v>
      </x:c>
      <x:c r="I87" s="2" t="str">
        <x:v>历史图表；最终状态未核验</x:v>
      </x:c>
    </x:row>
    <x:row r="88" ht="24" customHeight="1">
      <x:c r="A88" s="2" t="str">
        <x:v>2011Q4</x:v>
      </x:c>
      <x:c r="B88" s="2" t="str">
        <x:v>Utilities</x:v>
      </x:c>
      <x:c r="C88" s="2" t="str">
        <x:v>公用事业</x:v>
      </x:c>
      <x:c r="D88" s="16" t="n">
        <x:v>2.44</x:v>
      </x:c>
      <x:c r="E88" s="17" t="str">
        <x:v>曲线近似值</x:v>
      </x:c>
      <x:c r="F88" s="18" t="n">
        <x:v>0.036</x:v>
      </x:c>
      <x:c r="G88" s="18" t="n">
        <x:v>1099.549</x:v>
      </x:c>
      <x:c r="H88" s="18" t="n">
        <x:v>1990.522</x:v>
      </x:c>
      <x:c r="I88" s="2" t="str">
        <x:v>历史图表；最终状态未核验</x:v>
      </x:c>
    </x:row>
    <x:row r="89" ht="24" customHeight="1">
      <x:c r="A89" s="2" t="str">
        <x:v>2012Q1</x:v>
      </x:c>
      <x:c r="B89" s="2" t="str">
        <x:v>Communication Services</x:v>
      </x:c>
      <x:c r="C89" s="2" t="str">
        <x:v>通信服务</x:v>
      </x:c>
      <x:c r="D89" s="16" t="n">
        <x:v>1.795</x:v>
      </x:c>
      <x:c r="E89" s="17" t="str">
        <x:v>曲线近似值</x:v>
      </x:c>
      <x:c r="F89" s="18" t="n">
        <x:v>0.0862</x:v>
      </x:c>
      <x:c r="G89" s="18" t="n">
        <x:v>150.104</x:v>
      </x:c>
      <x:c r="H89" s="18" t="n">
        <x:v>657.847</x:v>
      </x:c>
      <x:c r="I89" s="2" t="str">
        <x:v>历史图表；最终状态未核验</x:v>
      </x:c>
    </x:row>
    <x:row r="90" ht="24" customHeight="1">
      <x:c r="A90" s="2" t="str">
        <x:v>2012Q1</x:v>
      </x:c>
      <x:c r="B90" s="2" t="str">
        <x:v>Consumer Discretionary</x:v>
      </x:c>
      <x:c r="C90" s="2" t="str">
        <x:v>可选消费</x:v>
      </x:c>
      <x:c r="D90" s="16" t="n">
        <x:v>4.914</x:v>
      </x:c>
      <x:c r="E90" s="17" t="str">
        <x:v>曲线近似值</x:v>
      </x:c>
      <x:c r="F90" s="18" t="n">
        <x:v>0.2154</x:v>
      </x:c>
      <x:c r="G90" s="18" t="n">
        <x:v>150.104</x:v>
      </x:c>
      <x:c r="H90" s="18" t="n">
        <x:v>982.88</x:v>
      </x:c>
      <x:c r="I90" s="2" t="str">
        <x:v>历史图表；最终状态未核验</x:v>
      </x:c>
    </x:row>
    <x:row r="91" ht="24" customHeight="1">
      <x:c r="A91" s="2" t="str">
        <x:v>2012Q1</x:v>
      </x:c>
      <x:c r="B91" s="2" t="str">
        <x:v>Consumer Staples</x:v>
      </x:c>
      <x:c r="C91" s="2" t="str">
        <x:v>必需消费</x:v>
      </x:c>
      <x:c r="D91" s="16" t="n">
        <x:v>5.565</x:v>
      </x:c>
      <x:c r="E91" s="17" t="str">
        <x:v>曲线近似值</x:v>
      </x:c>
      <x:c r="F91" s="18" t="n">
        <x:v>0.0504</x:v>
      </x:c>
      <x:c r="G91" s="18" t="n">
        <x:v>150.104</x:v>
      </x:c>
      <x:c r="H91" s="18" t="n">
        <x:v>1294.847</x:v>
      </x:c>
      <x:c r="I91" s="2" t="str">
        <x:v>历史图表；最终状态未核验</x:v>
      </x:c>
    </x:row>
    <x:row r="92" ht="24" customHeight="1">
      <x:c r="A92" s="2" t="str">
        <x:v>2012Q1</x:v>
      </x:c>
      <x:c r="B92" s="2" t="str">
        <x:v>Energy</x:v>
      </x:c>
      <x:c r="C92" s="2" t="str">
        <x:v>能源</x:v>
      </x:c>
      <x:c r="D92" s="16" t="n">
        <x:v>11.377</x:v>
      </x:c>
      <x:c r="E92" s="17" t="str">
        <x:v>曲线近似值</x:v>
      </x:c>
      <x:c r="F92" s="18" t="n">
        <x:v>0.2158</x:v>
      </x:c>
      <x:c r="G92" s="18" t="n">
        <x:v>150.104</x:v>
      </x:c>
      <x:c r="H92" s="18" t="n">
        <x:v>1534.241</x:v>
      </x:c>
      <x:c r="I92" s="2" t="str">
        <x:v>历史图表；最终状态未核验</x:v>
      </x:c>
    </x:row>
    <x:row r="93" ht="24" customHeight="1">
      <x:c r="A93" s="2" t="str">
        <x:v>2012Q1</x:v>
      </x:c>
      <x:c r="B93" s="2" t="str">
        <x:v>Financials</x:v>
      </x:c>
      <x:c r="C93" s="2" t="str">
        <x:v>金融</x:v>
      </x:c>
      <x:c r="D93" s="16" t="n">
        <x:v>4.875</x:v>
      </x:c>
      <x:c r="E93" s="17" t="str">
        <x:v>曲线近似值</x:v>
      </x:c>
      <x:c r="F93" s="18" t="n">
        <x:v>0.1007</x:v>
      </x:c>
      <x:c r="G93" s="18" t="n">
        <x:v>150.104</x:v>
      </x:c>
      <x:c r="H93" s="18" t="n">
        <x:v>1957.919</x:v>
      </x:c>
      <x:c r="I93" s="2" t="str">
        <x:v>历史图表；最终状态未核验</x:v>
      </x:c>
    </x:row>
    <x:row r="94" ht="24" customHeight="1">
      <x:c r="A94" s="2" t="str">
        <x:v>2012Q1</x:v>
      </x:c>
      <x:c r="B94" s="2" t="str">
        <x:v>Health Care</x:v>
      </x:c>
      <x:c r="C94" s="2" t="str">
        <x:v>医疗保健</x:v>
      </x:c>
      <x:c r="D94" s="16" t="n">
        <x:v>8.845</x:v>
      </x:c>
      <x:c r="E94" s="17" t="str">
        <x:v>曲线近似值</x:v>
      </x:c>
      <x:c r="F94" s="18" t="n">
        <x:v>0.173</x:v>
      </x:c>
      <x:c r="G94" s="18" t="n">
        <x:v>1110.104</x:v>
      </x:c>
      <x:c r="H94" s="18" t="n">
        <x:v>326.553</x:v>
      </x:c>
      <x:c r="I94" s="2" t="str">
        <x:v>历史图表；最终状态未核验</x:v>
      </x:c>
    </x:row>
    <x:row r="95" ht="24" customHeight="1">
      <x:c r="A95" s="2" t="str">
        <x:v>2012Q1</x:v>
      </x:c>
      <x:c r="B95" s="2" t="str">
        <x:v>Industrials</x:v>
      </x:c>
      <x:c r="C95" s="2" t="str">
        <x:v>工业</x:v>
      </x:c>
      <x:c r="D95" s="16" t="n">
        <x:v>5.526</x:v>
      </x:c>
      <x:c r="E95" s="17" t="str">
        <x:v>曲线近似值</x:v>
      </x:c>
      <x:c r="F95" s="18" t="n">
        <x:v>0.1149</x:v>
      </x:c>
      <x:c r="G95" s="18" t="n">
        <x:v>1110.104</x:v>
      </x:c>
      <x:c r="H95" s="18" t="n">
        <x:v>603.309</x:v>
      </x:c>
      <x:c r="I95" s="2" t="str">
        <x:v>历史图表；最终状态未核验</x:v>
      </x:c>
    </x:row>
    <x:row r="96" ht="24" customHeight="1">
      <x:c r="A96" s="2" t="str">
        <x:v>2012Q1</x:v>
      </x:c>
      <x:c r="B96" s="2" t="str">
        <x:v>Information Technology</x:v>
      </x:c>
      <x:c r="C96" s="2" t="str">
        <x:v>信息技术</x:v>
      </x:c>
      <x:c r="D96" s="16" t="n">
        <x:v>9.188</x:v>
      </x:c>
      <x:c r="E96" s="17" t="str">
        <x:v>曲线近似值</x:v>
      </x:c>
      <x:c r="F96" s="18" t="n">
        <x:v>0.5027</x:v>
      </x:c>
      <x:c r="G96" s="18" t="n">
        <x:v>1110.104</x:v>
      </x:c>
      <x:c r="H96" s="18" t="n">
        <x:v>991.947</x:v>
      </x:c>
      <x:c r="I96" s="2" t="str">
        <x:v>历史图表；最终状态未核验</x:v>
      </x:c>
    </x:row>
    <x:row r="97" ht="24" customHeight="1">
      <x:c r="A97" s="2" t="str">
        <x:v>2012Q1</x:v>
      </x:c>
      <x:c r="B97" s="2" t="str">
        <x:v>Materials</x:v>
      </x:c>
      <x:c r="C97" s="2" t="str">
        <x:v>材料</x:v>
      </x:c>
      <x:c r="D97" s="16" t="n">
        <x:v>4.511</x:v>
      </x:c>
      <x:c r="E97" s="17" t="str">
        <x:v>曲线近似值</x:v>
      </x:c>
      <x:c r="F97" s="18" t="n">
        <x:v>0.0719</x:v>
      </x:c>
      <x:c r="G97" s="18" t="n">
        <x:v>1110.104</x:v>
      </x:c>
      <x:c r="H97" s="18" t="n">
        <x:v>1287.186</x:v>
      </x:c>
      <x:c r="I97" s="2" t="str">
        <x:v>历史图表；最终状态未核验</x:v>
      </x:c>
    </x:row>
    <x:row r="98" ht="24" customHeight="1">
      <x:c r="A98" s="2" t="str">
        <x:v>2012Q1</x:v>
      </x:c>
      <x:c r="B98" s="2" t="str">
        <x:v>Utilities</x:v>
      </x:c>
      <x:c r="C98" s="2" t="str">
        <x:v>公用事业</x:v>
      </x:c>
      <x:c r="D98" s="16" t="n">
        <x:v>2.971</x:v>
      </x:c>
      <x:c r="E98" s="17" t="str">
        <x:v>曲线近似值</x:v>
      </x:c>
      <x:c r="F98" s="18" t="n">
        <x:v>0.036</x:v>
      </x:c>
      <x:c r="G98" s="18" t="n">
        <x:v>1110.104</x:v>
      </x:c>
      <x:c r="H98" s="18" t="n">
        <x:v>1961.016</x:v>
      </x:c>
      <x:c r="I98" s="2" t="str">
        <x:v>历史图表；最终状态未核验</x:v>
      </x:c>
    </x:row>
    <x:row r="99" ht="24" customHeight="1">
      <x:c r="A99" s="2" t="str">
        <x:v>2012Q2</x:v>
      </x:c>
      <x:c r="B99" s="2" t="str">
        <x:v>Communication Services</x:v>
      </x:c>
      <x:c r="C99" s="2" t="str">
        <x:v>通信服务</x:v>
      </x:c>
      <x:c r="D99" s="16" t="n">
        <x:v>1.959</x:v>
      </x:c>
      <x:c r="E99" s="17" t="str">
        <x:v>曲线近似值</x:v>
      </x:c>
      <x:c r="F99" s="18" t="n">
        <x:v>0.0862</x:v>
      </x:c>
      <x:c r="G99" s="18" t="n">
        <x:v>162.185</x:v>
      </x:c>
      <x:c r="H99" s="18" t="n">
        <x:v>654.032</x:v>
      </x:c>
      <x:c r="I99" s="2" t="str">
        <x:v>历史图表；最终状态未核验</x:v>
      </x:c>
    </x:row>
    <x:row r="100" ht="24" customHeight="1">
      <x:c r="A100" s="2" t="str">
        <x:v>2012Q2</x:v>
      </x:c>
      <x:c r="B100" s="2" t="str">
        <x:v>Consumer Discretionary</x:v>
      </x:c>
      <x:c r="C100" s="2" t="str">
        <x:v>可选消费</x:v>
      </x:c>
      <x:c r="D100" s="16" t="n">
        <x:v>5.609</x:v>
      </x:c>
      <x:c r="E100" s="17" t="str">
        <x:v>曲线近似值</x:v>
      </x:c>
      <x:c r="F100" s="18" t="n">
        <x:v>0.2154</x:v>
      </x:c>
      <x:c r="G100" s="18" t="n">
        <x:v>162.185</x:v>
      </x:c>
      <x:c r="H100" s="18" t="n">
        <x:v>976.427</x:v>
      </x:c>
      <x:c r="I100" s="2" t="str">
        <x:v>历史图表；最终状态未核验</x:v>
      </x:c>
    </x:row>
    <x:row r="101" ht="24" customHeight="1">
      <x:c r="A101" s="2" t="str">
        <x:v>2012Q2</x:v>
      </x:c>
      <x:c r="B101" s="2" t="str">
        <x:v>Consumer Staples</x:v>
      </x:c>
      <x:c r="C101" s="2" t="str">
        <x:v>必需消费</x:v>
      </x:c>
      <x:c r="D101" s="16" t="n">
        <x:v>6.179</x:v>
      </x:c>
      <x:c r="E101" s="17" t="str">
        <x:v>曲线近似值</x:v>
      </x:c>
      <x:c r="F101" s="18" t="n">
        <x:v>0.0504</x:v>
      </x:c>
      <x:c r="G101" s="18" t="n">
        <x:v>162.185</x:v>
      </x:c>
      <x:c r="H101" s="18" t="n">
        <x:v>1270.465</x:v>
      </x:c>
      <x:c r="I101" s="2" t="str">
        <x:v>历史图表；最终状态未核验</x:v>
      </x:c>
    </x:row>
    <x:row r="102" ht="24" customHeight="1">
      <x:c r="A102" s="2" t="str">
        <x:v>2012Q2</x:v>
      </x:c>
      <x:c r="B102" s="2" t="str">
        <x:v>Energy</x:v>
      </x:c>
      <x:c r="C102" s="2" t="str">
        <x:v>能源</x:v>
      </x:c>
      <x:c r="D102" s="16" t="n">
        <x:v>10.961</x:v>
      </x:c>
      <x:c r="E102" s="17" t="str">
        <x:v>曲线近似值</x:v>
      </x:c>
      <x:c r="F102" s="18" t="n">
        <x:v>0.2158</x:v>
      </x:c>
      <x:c r="G102" s="18" t="n">
        <x:v>162.185</x:v>
      </x:c>
      <x:c r="H102" s="18" t="n">
        <x:v>1538.093</x:v>
      </x:c>
      <x:c r="I102" s="2" t="str">
        <x:v>历史图表；最终状态未核验</x:v>
      </x:c>
    </x:row>
    <x:row r="103" ht="24" customHeight="1">
      <x:c r="A103" s="2" t="str">
        <x:v>2012Q2</x:v>
      </x:c>
      <x:c r="B103" s="2" t="str">
        <x:v>Financials</x:v>
      </x:c>
      <x:c r="C103" s="2" t="str">
        <x:v>金融</x:v>
      </x:c>
      <x:c r="D103" s="16" t="n">
        <x:v>4.547</x:v>
      </x:c>
      <x:c r="E103" s="17" t="str">
        <x:v>曲线近似值</x:v>
      </x:c>
      <x:c r="F103" s="18" t="n">
        <x:v>0.1007</x:v>
      </x:c>
      <x:c r="G103" s="18" t="n">
        <x:v>162.185</x:v>
      </x:c>
      <x:c r="H103" s="18" t="n">
        <x:v>1964.433</x:v>
      </x:c>
      <x:c r="I103" s="2" t="str">
        <x:v>历史图表；最终状态未核验</x:v>
      </x:c>
    </x:row>
    <x:row r="104" ht="24" customHeight="1">
      <x:c r="A104" s="2" t="str">
        <x:v>2012Q2</x:v>
      </x:c>
      <x:c r="B104" s="2" t="str">
        <x:v>Health Care</x:v>
      </x:c>
      <x:c r="C104" s="2" t="str">
        <x:v>医疗保健</x:v>
      </x:c>
      <x:c r="D104" s="16" t="n">
        <x:v>8.972</x:v>
      </x:c>
      <x:c r="E104" s="17" t="str">
        <x:v>曲线近似值</x:v>
      </x:c>
      <x:c r="F104" s="18" t="n">
        <x:v>0.173</x:v>
      </x:c>
      <x:c r="G104" s="18" t="n">
        <x:v>1122.185</x:v>
      </x:c>
      <x:c r="H104" s="18" t="n">
        <x:v>325.082</x:v>
      </x:c>
      <x:c r="I104" s="2" t="str">
        <x:v>历史图表；最终状态未核验</x:v>
      </x:c>
    </x:row>
    <x:row r="105" ht="24" customHeight="1">
      <x:c r="A105" s="2" t="str">
        <x:v>2012Q2</x:v>
      </x:c>
      <x:c r="B105" s="2" t="str">
        <x:v>Industrials</x:v>
      </x:c>
      <x:c r="C105" s="2" t="str">
        <x:v>工业</x:v>
      </x:c>
      <x:c r="D105" s="16" t="n">
        <x:v>6.187</x:v>
      </x:c>
      <x:c r="E105" s="17" t="str">
        <x:v>曲线近似值</x:v>
      </x:c>
      <x:c r="F105" s="18" t="n">
        <x:v>0.1149</x:v>
      </x:c>
      <x:c r="G105" s="18" t="n">
        <x:v>1122.185</x:v>
      </x:c>
      <x:c r="H105" s="18" t="n">
        <x:v>591.815</x:v>
      </x:c>
      <x:c r="I105" s="2" t="str">
        <x:v>历史图表；最终状态未核验</x:v>
      </x:c>
    </x:row>
    <x:row r="106" ht="24" customHeight="1">
      <x:c r="A106" s="2" t="str">
        <x:v>2012Q2</x:v>
      </x:c>
      <x:c r="B106" s="2" t="str">
        <x:v>Information Technology</x:v>
      </x:c>
      <x:c r="C106" s="2" t="str">
        <x:v>信息技术</x:v>
      </x:c>
      <x:c r="D106" s="16" t="n">
        <x:v>9.153</x:v>
      </x:c>
      <x:c r="E106" s="17" t="str">
        <x:v>曲线近似值</x:v>
      </x:c>
      <x:c r="F106" s="18" t="n">
        <x:v>0.5027</x:v>
      </x:c>
      <x:c r="G106" s="18" t="n">
        <x:v>1122.185</x:v>
      </x:c>
      <x:c r="H106" s="18" t="n">
        <x:v>992.083</x:v>
      </x:c>
      <x:c r="I106" s="2" t="str">
        <x:v>历史图表；最终状态未核验</x:v>
      </x:c>
    </x:row>
    <x:row r="107" ht="24" customHeight="1">
      <x:c r="A107" s="2" t="str">
        <x:v>2012Q2</x:v>
      </x:c>
      <x:c r="B107" s="2" t="str">
        <x:v>Materials</x:v>
      </x:c>
      <x:c r="C107" s="2" t="str">
        <x:v>材料</x:v>
      </x:c>
      <x:c r="D107" s="16" t="n">
        <x:v>4.453</x:v>
      </x:c>
      <x:c r="E107" s="17" t="str">
        <x:v>曲线近似值</x:v>
      </x:c>
      <x:c r="F107" s="18" t="n">
        <x:v>0.0719</x:v>
      </x:c>
      <x:c r="G107" s="18" t="n">
        <x:v>1122.185</x:v>
      </x:c>
      <x:c r="H107" s="18" t="n">
        <x:v>1288.814</x:v>
      </x:c>
      <x:c r="I107" s="2" t="str">
        <x:v>历史图表；最终状态未核验</x:v>
      </x:c>
    </x:row>
    <x:row r="108" ht="24" customHeight="1">
      <x:c r="A108" s="2" t="str">
        <x:v>2012Q2</x:v>
      </x:c>
      <x:c r="B108" s="2" t="str">
        <x:v>Utilities</x:v>
      </x:c>
      <x:c r="C108" s="2" t="str">
        <x:v>公用事业</x:v>
      </x:c>
      <x:c r="D108" s="16" t="n">
        <x:v>2.88</x:v>
      </x:c>
      <x:c r="E108" s="17" t="str">
        <x:v>曲线近似值</x:v>
      </x:c>
      <x:c r="F108" s="18" t="n">
        <x:v>0.036</x:v>
      </x:c>
      <x:c r="G108" s="18" t="n">
        <x:v>1122.185</x:v>
      </x:c>
      <x:c r="H108" s="18" t="n">
        <x:v>1966.074</x:v>
      </x:c>
      <x:c r="I108" s="2" t="str">
        <x:v>历史图表；最终状态未核验</x:v>
      </x:c>
    </x:row>
    <x:row r="109" ht="24" customHeight="1">
      <x:c r="A109" s="2" t="str">
        <x:v>2012Q3</x:v>
      </x:c>
      <x:c r="B109" s="2" t="str">
        <x:v>Communication Services</x:v>
      </x:c>
      <x:c r="C109" s="2" t="str">
        <x:v>通信服务</x:v>
      </x:c>
      <x:c r="D109" s="16" t="n">
        <x:v>2.009</x:v>
      </x:c>
      <x:c r="E109" s="17" t="str">
        <x:v>曲线近似值</x:v>
      </x:c>
      <x:c r="F109" s="18" t="n">
        <x:v>0.0862</x:v>
      </x:c>
      <x:c r="G109" s="18" t="n">
        <x:v>174.19</x:v>
      </x:c>
      <x:c r="H109" s="18" t="n">
        <x:v>652.872</x:v>
      </x:c>
      <x:c r="I109" s="2" t="str">
        <x:v>历史图表；最终状态未核验</x:v>
      </x:c>
    </x:row>
    <x:row r="110" ht="24" customHeight="1">
      <x:c r="A110" s="2" t="str">
        <x:v>2012Q3</x:v>
      </x:c>
      <x:c r="B110" s="2" t="str">
        <x:v>Consumer Discretionary</x:v>
      </x:c>
      <x:c r="C110" s="2" t="str">
        <x:v>可选消费</x:v>
      </x:c>
      <x:c r="D110" s="16" t="n">
        <x:v>5.881</x:v>
      </x:c>
      <x:c r="E110" s="17" t="str">
        <x:v>曲线近似值</x:v>
      </x:c>
      <x:c r="F110" s="18" t="n">
        <x:v>0.2154</x:v>
      </x:c>
      <x:c r="G110" s="18" t="n">
        <x:v>174.19</x:v>
      </x:c>
      <x:c r="H110" s="18" t="n">
        <x:v>973.902</x:v>
      </x:c>
      <x:c r="I110" s="2" t="str">
        <x:v>历史图表；最终状态未核验</x:v>
      </x:c>
    </x:row>
    <x:row r="111" ht="24" customHeight="1">
      <x:c r="A111" s="2" t="str">
        <x:v>2012Q3</x:v>
      </x:c>
      <x:c r="B111" s="2" t="str">
        <x:v>Consumer Staples</x:v>
      </x:c>
      <x:c r="C111" s="2" t="str">
        <x:v>必需消费</x:v>
      </x:c>
      <x:c r="D111" s="16" t="n">
        <x:v>6.35</x:v>
      </x:c>
      <x:c r="E111" s="17" t="str">
        <x:v>曲线近似值</x:v>
      </x:c>
      <x:c r="F111" s="18" t="n">
        <x:v>0.0504</x:v>
      </x:c>
      <x:c r="G111" s="18" t="n">
        <x:v>174.19</x:v>
      </x:c>
      <x:c r="H111" s="18" t="n">
        <x:v>1263.664</x:v>
      </x:c>
      <x:c r="I111" s="2" t="str">
        <x:v>历史图表；最终状态未核验</x:v>
      </x:c>
    </x:row>
    <x:row r="112" ht="24" customHeight="1">
      <x:c r="A112" s="2" t="str">
        <x:v>2012Q3</x:v>
      </x:c>
      <x:c r="B112" s="2" t="str">
        <x:v>Energy</x:v>
      </x:c>
      <x:c r="C112" s="2" t="str">
        <x:v>能源</x:v>
      </x:c>
      <x:c r="D112" s="16" t="n">
        <x:v>10.973</x:v>
      </x:c>
      <x:c r="E112" s="17" t="str">
        <x:v>曲线近似值</x:v>
      </x:c>
      <x:c r="F112" s="18" t="n">
        <x:v>0.2158</x:v>
      </x:c>
      <x:c r="G112" s="18" t="n">
        <x:v>174.19</x:v>
      </x:c>
      <x:c r="H112" s="18" t="n">
        <x:v>1537.983</x:v>
      </x:c>
      <x:c r="I112" s="2" t="str">
        <x:v>历史图表；最终状态未核验</x:v>
      </x:c>
    </x:row>
    <x:row r="113" ht="24" customHeight="1">
      <x:c r="A113" s="2" t="str">
        <x:v>2012Q3</x:v>
      </x:c>
      <x:c r="B113" s="2" t="str">
        <x:v>Financials</x:v>
      </x:c>
      <x:c r="C113" s="2" t="str">
        <x:v>金融</x:v>
      </x:c>
      <x:c r="D113" s="16" t="n">
        <x:v>4.803</x:v>
      </x:c>
      <x:c r="E113" s="17" t="str">
        <x:v>曲线近似值</x:v>
      </x:c>
      <x:c r="F113" s="18" t="n">
        <x:v>0.1007</x:v>
      </x:c>
      <x:c r="G113" s="18" t="n">
        <x:v>174.19</x:v>
      </x:c>
      <x:c r="H113" s="18" t="n">
        <x:v>1959.347</x:v>
      </x:c>
      <x:c r="I113" s="2" t="str">
        <x:v>历史图表；最终状态未核验</x:v>
      </x:c>
    </x:row>
    <x:row r="114" ht="24" customHeight="1">
      <x:c r="A114" s="2" t="str">
        <x:v>2012Q3</x:v>
      </x:c>
      <x:c r="B114" s="2" t="str">
        <x:v>Health Care</x:v>
      </x:c>
      <x:c r="C114" s="2" t="str">
        <x:v>医疗保健</x:v>
      </x:c>
      <x:c r="D114" s="16" t="n">
        <x:v>8.726</x:v>
      </x:c>
      <x:c r="E114" s="17" t="str">
        <x:v>曲线近似值</x:v>
      </x:c>
      <x:c r="F114" s="18" t="n">
        <x:v>0.173</x:v>
      </x:c>
      <x:c r="G114" s="18" t="n">
        <x:v>1134.19</x:v>
      </x:c>
      <x:c r="H114" s="18" t="n">
        <x:v>327.93</x:v>
      </x:c>
      <x:c r="I114" s="2" t="str">
        <x:v>历史图表；最终状态未核验</x:v>
      </x:c>
    </x:row>
    <x:row r="115" ht="24" customHeight="1">
      <x:c r="A115" s="2" t="str">
        <x:v>2012Q3</x:v>
      </x:c>
      <x:c r="B115" s="2" t="str">
        <x:v>Industrials</x:v>
      </x:c>
      <x:c r="C115" s="2" t="str">
        <x:v>工业</x:v>
      </x:c>
      <x:c r="D115" s="16" t="n">
        <x:v>6.124</x:v>
      </x:c>
      <x:c r="E115" s="17" t="str">
        <x:v>曲线近似值</x:v>
      </x:c>
      <x:c r="F115" s="18" t="n">
        <x:v>0.1149</x:v>
      </x:c>
      <x:c r="G115" s="18" t="n">
        <x:v>1134.19</x:v>
      </x:c>
      <x:c r="H115" s="18" t="n">
        <x:v>592.909</x:v>
      </x:c>
      <x:c r="I115" s="2" t="str">
        <x:v>历史图表；最终状态未核验</x:v>
      </x:c>
    </x:row>
    <x:row r="116" ht="24" customHeight="1">
      <x:c r="A116" s="2" t="str">
        <x:v>2012Q3</x:v>
      </x:c>
      <x:c r="B116" s="2" t="str">
        <x:v>Information Technology</x:v>
      </x:c>
      <x:c r="C116" s="2" t="str">
        <x:v>信息技术</x:v>
      </x:c>
      <x:c r="D116" s="16" t="n">
        <x:v>8.521</x:v>
      </x:c>
      <x:c r="E116" s="17" t="str">
        <x:v>曲线近似值</x:v>
      </x:c>
      <x:c r="F116" s="18" t="n">
        <x:v>0.5027</x:v>
      </x:c>
      <x:c r="G116" s="18" t="n">
        <x:v>1134.19</x:v>
      </x:c>
      <x:c r="H116" s="18" t="n">
        <x:v>994.597</x:v>
      </x:c>
      <x:c r="I116" s="2" t="str">
        <x:v>历史图表；最终状态未核验</x:v>
      </x:c>
    </x:row>
    <x:row r="117" ht="24" customHeight="1">
      <x:c r="A117" s="2" t="str">
        <x:v>2012Q3</x:v>
      </x:c>
      <x:c r="B117" s="2" t="str">
        <x:v>Materials</x:v>
      </x:c>
      <x:c r="C117" s="2" t="str">
        <x:v>材料</x:v>
      </x:c>
      <x:c r="D117" s="16" t="n">
        <x:v>2.918</x:v>
      </x:c>
      <x:c r="E117" s="17" t="str">
        <x:v>曲线近似值</x:v>
      </x:c>
      <x:c r="F117" s="18" t="n">
        <x:v>0.0719</x:v>
      </x:c>
      <x:c r="G117" s="18" t="n">
        <x:v>1134.19</x:v>
      </x:c>
      <x:c r="H117" s="18" t="n">
        <x:v>1331.491</x:v>
      </x:c>
      <x:c r="I117" s="2" t="str">
        <x:v>历史图表；最终状态未核验</x:v>
      </x:c>
    </x:row>
    <x:row r="118" ht="24" customHeight="1">
      <x:c r="A118" s="2" t="str">
        <x:v>2012Q3</x:v>
      </x:c>
      <x:c r="B118" s="2" t="str">
        <x:v>Utilities</x:v>
      </x:c>
      <x:c r="C118" s="2" t="str">
        <x:v>公用事业</x:v>
      </x:c>
      <x:c r="D118" s="16" t="n">
        <x:v>4.069</x:v>
      </x:c>
      <x:c r="E118" s="17" t="str">
        <x:v>曲线近似值</x:v>
      </x:c>
      <x:c r="F118" s="18" t="n">
        <x:v>0.036</x:v>
      </x:c>
      <x:c r="G118" s="18" t="n">
        <x:v>1134.19</x:v>
      </x:c>
      <x:c r="H118" s="18" t="n">
        <x:v>1899.99</x:v>
      </x:c>
      <x:c r="I118" s="2" t="str">
        <x:v>历史图表；最终状态未核验</x:v>
      </x:c>
    </x:row>
    <x:row r="119" ht="24" customHeight="1">
      <x:c r="A119" s="2" t="str">
        <x:v>2012Q4</x:v>
      </x:c>
      <x:c r="B119" s="2" t="str">
        <x:v>Communication Services</x:v>
      </x:c>
      <x:c r="C119" s="2" t="str">
        <x:v>通信服务</x:v>
      </x:c>
      <x:c r="D119" s="16" t="n">
        <x:v>1.119</x:v>
      </x:c>
      <x:c r="E119" s="17" t="str">
        <x:v>曲线近似值</x:v>
      </x:c>
      <x:c r="F119" s="18" t="n">
        <x:v>0.0862</x:v>
      </x:c>
      <x:c r="G119" s="18" t="n">
        <x:v>186.101</x:v>
      </x:c>
      <x:c r="H119" s="18" t="n">
        <x:v>673.522</x:v>
      </x:c>
      <x:c r="I119" s="2" t="str">
        <x:v>历史图表；最终状态未核验</x:v>
      </x:c>
    </x:row>
    <x:row r="120" ht="24" customHeight="1">
      <x:c r="A120" s="2" t="str">
        <x:v>2012Q4</x:v>
      </x:c>
      <x:c r="B120" s="2" t="str">
        <x:v>Consumer Discretionary</x:v>
      </x:c>
      <x:c r="C120" s="2" t="str">
        <x:v>可选消费</x:v>
      </x:c>
      <x:c r="D120" s="16" t="n">
        <x:v>6.443</x:v>
      </x:c>
      <x:c r="E120" s="17" t="str">
        <x:v>曲线近似值</x:v>
      </x:c>
      <x:c r="F120" s="18" t="n">
        <x:v>0.2154</x:v>
      </x:c>
      <x:c r="G120" s="18" t="n">
        <x:v>186.101</x:v>
      </x:c>
      <x:c r="H120" s="18" t="n">
        <x:v>968.684</x:v>
      </x:c>
      <x:c r="I120" s="2" t="str">
        <x:v>历史图表；最终状态未核验</x:v>
      </x:c>
    </x:row>
    <x:row r="121" ht="24" customHeight="1">
      <x:c r="A121" s="2" t="str">
        <x:v>2012Q4</x:v>
      </x:c>
      <x:c r="B121" s="2" t="str">
        <x:v>Consumer Staples</x:v>
      </x:c>
      <x:c r="C121" s="2" t="str">
        <x:v>必需消费</x:v>
      </x:c>
      <x:c r="D121" s="16" t="n">
        <x:v>6.965</x:v>
      </x:c>
      <x:c r="E121" s="17" t="str">
        <x:v>曲线近似值</x:v>
      </x:c>
      <x:c r="F121" s="18" t="n">
        <x:v>0.0504</x:v>
      </x:c>
      <x:c r="G121" s="18" t="n">
        <x:v>186.101</x:v>
      </x:c>
      <x:c r="H121" s="18" t="n">
        <x:v>1239.23</x:v>
      </x:c>
      <x:c r="I121" s="2" t="str">
        <x:v>历史图表；最终状态未核验</x:v>
      </x:c>
    </x:row>
    <x:row r="122" ht="24" customHeight="1">
      <x:c r="A122" s="2" t="str">
        <x:v>2012Q4</x:v>
      </x:c>
      <x:c r="B122" s="2" t="str">
        <x:v>Energy</x:v>
      </x:c>
      <x:c r="C122" s="2" t="str">
        <x:v>能源</x:v>
      </x:c>
      <x:c r="D122" s="16" t="n">
        <x:v>11.812</x:v>
      </x:c>
      <x:c r="E122" s="17" t="str">
        <x:v>曲线近似值</x:v>
      </x:c>
      <x:c r="F122" s="18" t="n">
        <x:v>0.2158</x:v>
      </x:c>
      <x:c r="G122" s="18" t="n">
        <x:v>186.101</x:v>
      </x:c>
      <x:c r="H122" s="18" t="n">
        <x:v>1530.21</x:v>
      </x:c>
      <x:c r="I122" s="2" t="str">
        <x:v>历史图表；最终状态未核验</x:v>
      </x:c>
    </x:row>
    <x:row r="123" ht="24" customHeight="1">
      <x:c r="A123" s="2" t="str">
        <x:v>2012Q4</x:v>
      </x:c>
      <x:c r="B123" s="2" t="str">
        <x:v>Financials</x:v>
      </x:c>
      <x:c r="C123" s="2" t="str">
        <x:v>金融</x:v>
      </x:c>
      <x:c r="D123" s="16" t="n">
        <x:v>4.548</x:v>
      </x:c>
      <x:c r="E123" s="17" t="str">
        <x:v>曲线近似值</x:v>
      </x:c>
      <x:c r="F123" s="18" t="n">
        <x:v>0.1007</x:v>
      </x:c>
      <x:c r="G123" s="18" t="n">
        <x:v>186.101</x:v>
      </x:c>
      <x:c r="H123" s="18" t="n">
        <x:v>1964.413</x:v>
      </x:c>
      <x:c r="I123" s="2" t="str">
        <x:v>历史图表；最终状态未核验</x:v>
      </x:c>
    </x:row>
    <x:row r="124" ht="24" customHeight="1">
      <x:c r="A124" s="2" t="str">
        <x:v>2012Q4</x:v>
      </x:c>
      <x:c r="B124" s="2" t="str">
        <x:v>Health Care</x:v>
      </x:c>
      <x:c r="C124" s="2" t="str">
        <x:v>医疗保健</x:v>
      </x:c>
      <x:c r="D124" s="16" t="n">
        <x:v>8.295</x:v>
      </x:c>
      <x:c r="E124" s="17" t="str">
        <x:v>曲线近似值</x:v>
      </x:c>
      <x:c r="F124" s="18" t="n">
        <x:v>0.173</x:v>
      </x:c>
      <x:c r="G124" s="18" t="n">
        <x:v>1146.101</x:v>
      </x:c>
      <x:c r="H124" s="18" t="n">
        <x:v>332.914</x:v>
      </x:c>
      <x:c r="I124" s="2" t="str">
        <x:v>历史图表；最终状态未核验</x:v>
      </x:c>
    </x:row>
    <x:row r="125" ht="24" customHeight="1">
      <x:c r="A125" s="2" t="str">
        <x:v>2012Q4</x:v>
      </x:c>
      <x:c r="B125" s="2" t="str">
        <x:v>Industrials</x:v>
      </x:c>
      <x:c r="C125" s="2" t="str">
        <x:v>工业</x:v>
      </x:c>
      <x:c r="D125" s="16" t="n">
        <x:v>5.822</x:v>
      </x:c>
      <x:c r="E125" s="17" t="str">
        <x:v>曲线近似值</x:v>
      </x:c>
      <x:c r="F125" s="18" t="n">
        <x:v>0.1149</x:v>
      </x:c>
      <x:c r="G125" s="18" t="n">
        <x:v>1146.101</x:v>
      </x:c>
      <x:c r="H125" s="18" t="n">
        <x:v>598.165</x:v>
      </x:c>
      <x:c r="I125" s="2" t="str">
        <x:v>历史图表；最终状态未核验</x:v>
      </x:c>
    </x:row>
    <x:row r="126" ht="24" customHeight="1">
      <x:c r="A126" s="2" t="str">
        <x:v>2012Q4</x:v>
      </x:c>
      <x:c r="B126" s="2" t="str">
        <x:v>Information Technology</x:v>
      </x:c>
      <x:c r="C126" s="2" t="str">
        <x:v>信息技术</x:v>
      </x:c>
      <x:c r="D126" s="16" t="n">
        <x:v>10.458</x:v>
      </x:c>
      <x:c r="E126" s="17" t="str">
        <x:v>曲线近似值</x:v>
      </x:c>
      <x:c r="F126" s="18" t="n">
        <x:v>0.5027</x:v>
      </x:c>
      <x:c r="G126" s="18" t="n">
        <x:v>1146.101</x:v>
      </x:c>
      <x:c r="H126" s="18" t="n">
        <x:v>986.892</x:v>
      </x:c>
      <x:c r="I126" s="2" t="str">
        <x:v>历史图表；最终状态未核验</x:v>
      </x:c>
    </x:row>
    <x:row r="127" ht="24" customHeight="1">
      <x:c r="A127" s="2" t="str">
        <x:v>2012Q4</x:v>
      </x:c>
      <x:c r="B127" s="2" t="str">
        <x:v>Materials</x:v>
      </x:c>
      <x:c r="C127" s="2" t="str">
        <x:v>材料</x:v>
      </x:c>
      <x:c r="D127" s="16" t="n">
        <x:v>3.26</x:v>
      </x:c>
      <x:c r="E127" s="17" t="str">
        <x:v>曲线近似值</x:v>
      </x:c>
      <x:c r="F127" s="18" t="n">
        <x:v>0.0719</x:v>
      </x:c>
      <x:c r="G127" s="18" t="n">
        <x:v>1146.101</x:v>
      </x:c>
      <x:c r="H127" s="18" t="n">
        <x:v>1321.975</x:v>
      </x:c>
      <x:c r="I127" s="2" t="str">
        <x:v>历史图表；最终状态未核验</x:v>
      </x:c>
    </x:row>
    <x:row r="128" ht="24" customHeight="1">
      <x:c r="A128" s="2" t="str">
        <x:v>2012Q4</x:v>
      </x:c>
      <x:c r="B128" s="2" t="str">
        <x:v>Utilities</x:v>
      </x:c>
      <x:c r="C128" s="2" t="str">
        <x:v>公用事业</x:v>
      </x:c>
      <x:c r="D128" s="16" t="n">
        <x:v>2.679</x:v>
      </x:c>
      <x:c r="E128" s="17" t="str">
        <x:v>曲线近似值</x:v>
      </x:c>
      <x:c r="F128" s="18" t="n">
        <x:v>0.036</x:v>
      </x:c>
      <x:c r="G128" s="18" t="n">
        <x:v>1146.101</x:v>
      </x:c>
      <x:c r="H128" s="18" t="n">
        <x:v>1977.262</x:v>
      </x:c>
      <x:c r="I128" s="2" t="str">
        <x:v>历史图表；最终状态未核验</x:v>
      </x:c>
    </x:row>
    <x:row r="129" ht="24" customHeight="1">
      <x:c r="A129" s="2" t="str">
        <x:v>2013Q1</x:v>
      </x:c>
      <x:c r="B129" s="2" t="str">
        <x:v>Communication Services</x:v>
      </x:c>
      <x:c r="C129" s="2" t="str">
        <x:v>通信服务</x:v>
      </x:c>
      <x:c r="D129" s="16" t="n">
        <x:v>2.015</x:v>
      </x:c>
      <x:c r="E129" s="17" t="str">
        <x:v>曲线近似值</x:v>
      </x:c>
      <x:c r="F129" s="18" t="n">
        <x:v>0.0862</x:v>
      </x:c>
      <x:c r="G129" s="18" t="n">
        <x:v>198.133</x:v>
      </x:c>
      <x:c r="H129" s="18" t="n">
        <x:v>652.728</x:v>
      </x:c>
      <x:c r="I129" s="2" t="str">
        <x:v>历史图表；最终状态未核验</x:v>
      </x:c>
    </x:row>
    <x:row r="130" ht="24" customHeight="1">
      <x:c r="A130" s="2" t="str">
        <x:v>2013Q1</x:v>
      </x:c>
      <x:c r="B130" s="2" t="str">
        <x:v>Consumer Discretionary</x:v>
      </x:c>
      <x:c r="C130" s="2" t="str">
        <x:v>可选消费</x:v>
      </x:c>
      <x:c r="D130" s="16" t="n">
        <x:v>5.753</x:v>
      </x:c>
      <x:c r="E130" s="17" t="str">
        <x:v>曲线近似值</x:v>
      </x:c>
      <x:c r="F130" s="18" t="n">
        <x:v>0.2154</x:v>
      </x:c>
      <x:c r="G130" s="18" t="n">
        <x:v>198.133</x:v>
      </x:c>
      <x:c r="H130" s="18" t="n">
        <x:v>975.09</x:v>
      </x:c>
      <x:c r="I130" s="2" t="str">
        <x:v>历史图表；最终状态未核验</x:v>
      </x:c>
    </x:row>
    <x:row r="131" ht="24" customHeight="1">
      <x:c r="A131" s="2" t="str">
        <x:v>2013Q1</x:v>
      </x:c>
      <x:c r="B131" s="2" t="str">
        <x:v>Consumer Staples</x:v>
      </x:c>
      <x:c r="C131" s="2" t="str">
        <x:v>必需消费</x:v>
      </x:c>
      <x:c r="D131" s="16" t="n">
        <x:v>5.923</x:v>
      </x:c>
      <x:c r="E131" s="17" t="str">
        <x:v>曲线近似值</x:v>
      </x:c>
      <x:c r="F131" s="18" t="n">
        <x:v>0.0504</x:v>
      </x:c>
      <x:c r="G131" s="18" t="n">
        <x:v>198.133</x:v>
      </x:c>
      <x:c r="H131" s="18" t="n">
        <x:v>1280.641</x:v>
      </x:c>
      <x:c r="I131" s="2" t="str">
        <x:v>历史图表；最终状态未核验</x:v>
      </x:c>
    </x:row>
    <x:row r="132" ht="24" customHeight="1">
      <x:c r="A132" s="2" t="str">
        <x:v>2013Q1</x:v>
      </x:c>
      <x:c r="B132" s="2" t="str">
        <x:v>Energy</x:v>
      </x:c>
      <x:c r="C132" s="2" t="str">
        <x:v>能源</x:v>
      </x:c>
      <x:c r="D132" s="16" t="n">
        <x:v>11.662</x:v>
      </x:c>
      <x:c r="E132" s="17" t="str">
        <x:v>曲线近似值</x:v>
      </x:c>
      <x:c r="F132" s="18" t="n">
        <x:v>0.2158</x:v>
      </x:c>
      <x:c r="G132" s="18" t="n">
        <x:v>198.133</x:v>
      </x:c>
      <x:c r="H132" s="18" t="n">
        <x:v>1531.602</x:v>
      </x:c>
      <x:c r="I132" s="2" t="str">
        <x:v>历史图表；最终状态未核验</x:v>
      </x:c>
    </x:row>
    <x:row r="133" ht="24" customHeight="1">
      <x:c r="A133" s="2" t="str">
        <x:v>2013Q1</x:v>
      </x:c>
      <x:c r="B133" s="2" t="str">
        <x:v>Financials</x:v>
      </x:c>
      <x:c r="C133" s="2" t="str">
        <x:v>金融</x:v>
      </x:c>
      <x:c r="D133" s="16" t="n">
        <x:v>5.532</x:v>
      </x:c>
      <x:c r="E133" s="17" t="str">
        <x:v>曲线近似值</x:v>
      </x:c>
      <x:c r="F133" s="18" t="n">
        <x:v>0.1007</x:v>
      </x:c>
      <x:c r="G133" s="18" t="n">
        <x:v>198.133</x:v>
      </x:c>
      <x:c r="H133" s="18" t="n">
        <x:v>1944.862</x:v>
      </x:c>
      <x:c r="I133" s="2" t="str">
        <x:v>历史图表；最终状态未核验</x:v>
      </x:c>
    </x:row>
    <x:row r="134" ht="24" customHeight="1">
      <x:c r="A134" s="2" t="str">
        <x:v>2013Q1</x:v>
      </x:c>
      <x:c r="B134" s="2" t="str">
        <x:v>Health Care</x:v>
      </x:c>
      <x:c r="C134" s="2" t="str">
        <x:v>医疗保健</x:v>
      </x:c>
      <x:c r="D134" s="16" t="n">
        <x:v>8.729</x:v>
      </x:c>
      <x:c r="E134" s="17" t="str">
        <x:v>曲线近似值</x:v>
      </x:c>
      <x:c r="F134" s="18" t="n">
        <x:v>0.173</x:v>
      </x:c>
      <x:c r="G134" s="18" t="n">
        <x:v>1158.133</x:v>
      </x:c>
      <x:c r="H134" s="18" t="n">
        <x:v>327.887</x:v>
      </x:c>
      <x:c r="I134" s="2" t="str">
        <x:v>历史图表；最终状态未核验</x:v>
      </x:c>
    </x:row>
    <x:row r="135" ht="24" customHeight="1">
      <x:c r="A135" s="2" t="str">
        <x:v>2013Q1</x:v>
      </x:c>
      <x:c r="B135" s="2" t="str">
        <x:v>Industrials</x:v>
      </x:c>
      <x:c r="C135" s="2" t="str">
        <x:v>工业</x:v>
      </x:c>
      <x:c r="D135" s="16" t="n">
        <x:v>5.898</x:v>
      </x:c>
      <x:c r="E135" s="17" t="str">
        <x:v>曲线近似值</x:v>
      </x:c>
      <x:c r="F135" s="18" t="n">
        <x:v>0.1149</x:v>
      </x:c>
      <x:c r="G135" s="18" t="n">
        <x:v>1158.133</x:v>
      </x:c>
      <x:c r="H135" s="18" t="n">
        <x:v>596.842</x:v>
      </x:c>
      <x:c r="I135" s="2" t="str">
        <x:v>历史图表；最终状态未核验</x:v>
      </x:c>
    </x:row>
    <x:row r="136" ht="24" customHeight="1">
      <x:c r="A136" s="2" t="str">
        <x:v>2013Q1</x:v>
      </x:c>
      <x:c r="B136" s="2" t="str">
        <x:v>Information Technology</x:v>
      </x:c>
      <x:c r="C136" s="2" t="str">
        <x:v>信息技术</x:v>
      </x:c>
      <x:c r="D136" s="16" t="n">
        <x:v>9.156</x:v>
      </x:c>
      <x:c r="E136" s="17" t="str">
        <x:v>曲线近似值</x:v>
      </x:c>
      <x:c r="F136" s="18" t="n">
        <x:v>0.5027</x:v>
      </x:c>
      <x:c r="G136" s="18" t="n">
        <x:v>1158.133</x:v>
      </x:c>
      <x:c r="H136" s="18" t="n">
        <x:v>992.072</x:v>
      </x:c>
      <x:c r="I136" s="2" t="str">
        <x:v>历史图表；最终状态未核验</x:v>
      </x:c>
    </x:row>
    <x:row r="137" ht="24" customHeight="1">
      <x:c r="A137" s="2" t="str">
        <x:v>2013Q1</x:v>
      </x:c>
      <x:c r="B137" s="2" t="str">
        <x:v>Materials</x:v>
      </x:c>
      <x:c r="C137" s="2" t="str">
        <x:v>材料</x:v>
      </x:c>
      <x:c r="D137" s="16" t="n">
        <x:v>4.744</x:v>
      </x:c>
      <x:c r="E137" s="17" t="str">
        <x:v>曲线近似值</x:v>
      </x:c>
      <x:c r="F137" s="18" t="n">
        <x:v>0.0719</x:v>
      </x:c>
      <x:c r="G137" s="18" t="n">
        <x:v>1158.133</x:v>
      </x:c>
      <x:c r="H137" s="18" t="n">
        <x:v>1280.722</x:v>
      </x:c>
      <x:c r="I137" s="2" t="str">
        <x:v>历史图表；最终状态未核验</x:v>
      </x:c>
    </x:row>
    <x:row r="138" ht="24" customHeight="1">
      <x:c r="A138" s="2" t="str">
        <x:v>2013Q1</x:v>
      </x:c>
      <x:c r="B138" s="2" t="str">
        <x:v>Utilities</x:v>
      </x:c>
      <x:c r="C138" s="2" t="str">
        <x:v>公用事业</x:v>
      </x:c>
      <x:c r="D138" s="16" t="n">
        <x:v>3.047</x:v>
      </x:c>
      <x:c r="E138" s="17" t="str">
        <x:v>曲线近似值</x:v>
      </x:c>
      <x:c r="F138" s="18" t="n">
        <x:v>0.036</x:v>
      </x:c>
      <x:c r="G138" s="18" t="n">
        <x:v>1158.133</x:v>
      </x:c>
      <x:c r="H138" s="18" t="n">
        <x:v>1956.763</x:v>
      </x:c>
      <x:c r="I138" s="2" t="str">
        <x:v>历史图表；最终状态未核验</x:v>
      </x:c>
    </x:row>
    <x:row r="139" ht="24" customHeight="1">
      <x:c r="A139" s="2" t="str">
        <x:v>2013Q2</x:v>
      </x:c>
      <x:c r="B139" s="2" t="str">
        <x:v>Communication Services</x:v>
      </x:c>
      <x:c r="C139" s="2" t="str">
        <x:v>通信服务</x:v>
      </x:c>
      <x:c r="D139" s="16" t="n">
        <x:v>2.407</x:v>
      </x:c>
      <x:c r="E139" s="17" t="str">
        <x:v>曲线近似值</x:v>
      </x:c>
      <x:c r="F139" s="18" t="n">
        <x:v>0.0862</x:v>
      </x:c>
      <x:c r="G139" s="18" t="n">
        <x:v>210.057</x:v>
      </x:c>
      <x:c r="H139" s="18" t="n">
        <x:v>643.642</x:v>
      </x:c>
      <x:c r="I139" s="2" t="str">
        <x:v>历史图表；最终状态未核验</x:v>
      </x:c>
    </x:row>
    <x:row r="140" ht="24" customHeight="1">
      <x:c r="A140" s="2" t="str">
        <x:v>2013Q2</x:v>
      </x:c>
      <x:c r="B140" s="2" t="str">
        <x:v>Consumer Discretionary</x:v>
      </x:c>
      <x:c r="C140" s="2" t="str">
        <x:v>可选消费</x:v>
      </x:c>
      <x:c r="D140" s="16" t="n">
        <x:v>6.435</x:v>
      </x:c>
      <x:c r="E140" s="17" t="str">
        <x:v>曲线近似值</x:v>
      </x:c>
      <x:c r="F140" s="18" t="n">
        <x:v>0.2154</x:v>
      </x:c>
      <x:c r="G140" s="18" t="n">
        <x:v>210.057</x:v>
      </x:c>
      <x:c r="H140" s="18" t="n">
        <x:v>968.76</x:v>
      </x:c>
      <x:c r="I140" s="2" t="str">
        <x:v>历史图表；最终状态未核验</x:v>
      </x:c>
    </x:row>
    <x:row r="141" ht="24" customHeight="1">
      <x:c r="A141" s="2" t="str">
        <x:v>2013Q2</x:v>
      </x:c>
      <x:c r="B141" s="2" t="str">
        <x:v>Consumer Staples</x:v>
      </x:c>
      <x:c r="C141" s="2" t="str">
        <x:v>必需消费</x:v>
      </x:c>
      <x:c r="D141" s="16" t="n">
        <x:v>6.547</x:v>
      </x:c>
      <x:c r="E141" s="17" t="str">
        <x:v>曲线近似值</x:v>
      </x:c>
      <x:c r="F141" s="18" t="n">
        <x:v>0.0504</x:v>
      </x:c>
      <x:c r="G141" s="18" t="n">
        <x:v>210.057</x:v>
      </x:c>
      <x:c r="H141" s="18" t="n">
        <x:v>1255.828</x:v>
      </x:c>
      <x:c r="I141" s="2" t="str">
        <x:v>历史图表；最终状态未核验</x:v>
      </x:c>
    </x:row>
    <x:row r="142" ht="24" customHeight="1">
      <x:c r="A142" s="2" t="str">
        <x:v>2013Q2</x:v>
      </x:c>
      <x:c r="B142" s="2" t="str">
        <x:v>Energy</x:v>
      </x:c>
      <x:c r="C142" s="2" t="str">
        <x:v>能源</x:v>
      </x:c>
      <x:c r="D142" s="16" t="n">
        <x:v>10.428</x:v>
      </x:c>
      <x:c r="E142" s="17" t="str">
        <x:v>曲线近似值</x:v>
      </x:c>
      <x:c r="F142" s="18" t="n">
        <x:v>0.2158</x:v>
      </x:c>
      <x:c r="G142" s="18" t="n">
        <x:v>210.057</x:v>
      </x:c>
      <x:c r="H142" s="18" t="n">
        <x:v>1543.037</x:v>
      </x:c>
      <x:c r="I142" s="2" t="str">
        <x:v>历史图表；最终状态未核验</x:v>
      </x:c>
    </x:row>
    <x:row r="143" ht="24" customHeight="1">
      <x:c r="A143" s="2" t="str">
        <x:v>2013Q2</x:v>
      </x:c>
      <x:c r="B143" s="2" t="str">
        <x:v>Financials</x:v>
      </x:c>
      <x:c r="C143" s="2" t="str">
        <x:v>金融</x:v>
      </x:c>
      <x:c r="D143" s="16" t="n">
        <x:v>5.854</x:v>
      </x:c>
      <x:c r="E143" s="17" t="str">
        <x:v>曲线近似值</x:v>
      </x:c>
      <x:c r="F143" s="18" t="n">
        <x:v>0.1007</x:v>
      </x:c>
      <x:c r="G143" s="18" t="n">
        <x:v>210.057</x:v>
      </x:c>
      <x:c r="H143" s="18" t="n">
        <x:v>1938.471</x:v>
      </x:c>
      <x:c r="I143" s="2" t="str">
        <x:v>历史图表；最终状态未核验</x:v>
      </x:c>
    </x:row>
    <x:row r="144" ht="24" customHeight="1">
      <x:c r="A144" s="2" t="str">
        <x:v>2013Q2</x:v>
      </x:c>
      <x:c r="B144" s="2" t="str">
        <x:v>Health Care</x:v>
      </x:c>
      <x:c r="C144" s="2" t="str">
        <x:v>医疗保健</x:v>
      </x:c>
      <x:c r="D144" s="16" t="n">
        <x:v>8.861</x:v>
      </x:c>
      <x:c r="E144" s="17" t="str">
        <x:v>曲线近似值</x:v>
      </x:c>
      <x:c r="F144" s="18" t="n">
        <x:v>0.173</x:v>
      </x:c>
      <x:c r="G144" s="18" t="n">
        <x:v>1170.057</x:v>
      </x:c>
      <x:c r="H144" s="18" t="n">
        <x:v>326.372</x:v>
      </x:c>
      <x:c r="I144" s="2" t="str">
        <x:v>历史图表；最终状态未核验</x:v>
      </x:c>
    </x:row>
    <x:row r="145" ht="24" customHeight="1">
      <x:c r="A145" s="2" t="str">
        <x:v>2013Q2</x:v>
      </x:c>
      <x:c r="B145" s="2" t="str">
        <x:v>Industrials</x:v>
      </x:c>
      <x:c r="C145" s="2" t="str">
        <x:v>工业</x:v>
      </x:c>
      <x:c r="D145" s="16" t="n">
        <x:v>6.723</x:v>
      </x:c>
      <x:c r="E145" s="17" t="str">
        <x:v>曲线近似值</x:v>
      </x:c>
      <x:c r="F145" s="18" t="n">
        <x:v>0.1149</x:v>
      </x:c>
      <x:c r="G145" s="18" t="n">
        <x:v>1170.057</x:v>
      </x:c>
      <x:c r="H145" s="18" t="n">
        <x:v>582.481</x:v>
      </x:c>
      <x:c r="I145" s="2" t="str">
        <x:v>历史图表；最终状态未核验</x:v>
      </x:c>
    </x:row>
    <x:row r="146" ht="24" customHeight="1">
      <x:c r="A146" s="2" t="str">
        <x:v>2013Q2</x:v>
      </x:c>
      <x:c r="B146" s="2" t="str">
        <x:v>Information Technology</x:v>
      </x:c>
      <x:c r="C146" s="2" t="str">
        <x:v>信息技术</x:v>
      </x:c>
      <x:c r="D146" s="16" t="n">
        <x:v>8.84</x:v>
      </x:c>
      <x:c r="E146" s="17" t="str">
        <x:v>曲线近似值</x:v>
      </x:c>
      <x:c r="F146" s="18" t="n">
        <x:v>0.5027</x:v>
      </x:c>
      <x:c r="G146" s="18" t="n">
        <x:v>1170.057</x:v>
      </x:c>
      <x:c r="H146" s="18" t="n">
        <x:v>993.328</x:v>
      </x:c>
      <x:c r="I146" s="2" t="str">
        <x:v>历史图表；最终状态未核验</x:v>
      </x:c>
    </x:row>
    <x:row r="147" ht="24" customHeight="1">
      <x:c r="A147" s="2" t="str">
        <x:v>2013Q2</x:v>
      </x:c>
      <x:c r="B147" s="2" t="str">
        <x:v>Materials</x:v>
      </x:c>
      <x:c r="C147" s="2" t="str">
        <x:v>材料</x:v>
      </x:c>
      <x:c r="D147" s="16" t="n">
        <x:v>4.372</x:v>
      </x:c>
      <x:c r="E147" s="17" t="str">
        <x:v>曲线近似值</x:v>
      </x:c>
      <x:c r="F147" s="18" t="n">
        <x:v>0.0719</x:v>
      </x:c>
      <x:c r="G147" s="18" t="n">
        <x:v>1170.057</x:v>
      </x:c>
      <x:c r="H147" s="18" t="n">
        <x:v>1291.069</x:v>
      </x:c>
      <x:c r="I147" s="2" t="str">
        <x:v>历史图表；最终状态未核验</x:v>
      </x:c>
    </x:row>
    <x:row r="148" ht="24" customHeight="1">
      <x:c r="A148" s="2" t="str">
        <x:v>2013Q2</x:v>
      </x:c>
      <x:c r="B148" s="2" t="str">
        <x:v>Utilities</x:v>
      </x:c>
      <x:c r="C148" s="2" t="str">
        <x:v>公用事业</x:v>
      </x:c>
      <x:c r="D148" s="16" t="n">
        <x:v>2.845</x:v>
      </x:c>
      <x:c r="E148" s="17" t="str">
        <x:v>曲线近似值</x:v>
      </x:c>
      <x:c r="F148" s="18" t="n">
        <x:v>0.036</x:v>
      </x:c>
      <x:c r="G148" s="18" t="n">
        <x:v>1170.057</x:v>
      </x:c>
      <x:c r="H148" s="18" t="n">
        <x:v>1968.027</x:v>
      </x:c>
      <x:c r="I148" s="2" t="str">
        <x:v>历史图表；最终状态未核验</x:v>
      </x:c>
    </x:row>
    <x:row r="149" ht="24" customHeight="1">
      <x:c r="A149" s="2" t="str">
        <x:v>2013Q3</x:v>
      </x:c>
      <x:c r="B149" s="2" t="str">
        <x:v>Communication Services</x:v>
      </x:c>
      <x:c r="C149" s="2" t="str">
        <x:v>通信服务</x:v>
      </x:c>
      <x:c r="D149" s="16" t="n">
        <x:v>2.517</x:v>
      </x:c>
      <x:c r="E149" s="17" t="str">
        <x:v>曲线近似值</x:v>
      </x:c>
      <x:c r="F149" s="18" t="n">
        <x:v>0.0862</x:v>
      </x:c>
      <x:c r="G149" s="18" t="n">
        <x:v>221.987</x:v>
      </x:c>
      <x:c r="H149" s="18" t="n">
        <x:v>641.089</x:v>
      </x:c>
      <x:c r="I149" s="2" t="str">
        <x:v>历史图表；最终状态未核验</x:v>
      </x:c>
    </x:row>
    <x:row r="150" ht="24" customHeight="1">
      <x:c r="A150" s="2" t="str">
        <x:v>2013Q3</x:v>
      </x:c>
      <x:c r="B150" s="2" t="str">
        <x:v>Consumer Discretionary</x:v>
      </x:c>
      <x:c r="C150" s="2" t="str">
        <x:v>可选消费</x:v>
      </x:c>
      <x:c r="D150" s="16" t="n">
        <x:v>7.567</x:v>
      </x:c>
      <x:c r="E150" s="17" t="str">
        <x:v>曲线近似值</x:v>
      </x:c>
      <x:c r="F150" s="18" t="n">
        <x:v>0.2154</x:v>
      </x:c>
      <x:c r="G150" s="18" t="n">
        <x:v>221.987</x:v>
      </x:c>
      <x:c r="H150" s="18" t="n">
        <x:v>958.252</x:v>
      </x:c>
      <x:c r="I150" s="2" t="str">
        <x:v>历史图表；最终状态未核验</x:v>
      </x:c>
    </x:row>
    <x:row r="151" ht="24" customHeight="1">
      <x:c r="A151" s="2" t="str">
        <x:v>2013Q3</x:v>
      </x:c>
      <x:c r="B151" s="2" t="str">
        <x:v>Consumer Staples</x:v>
      </x:c>
      <x:c r="C151" s="2" t="str">
        <x:v>必需消费</x:v>
      </x:c>
      <x:c r="D151" s="16" t="n">
        <x:v>6.842</x:v>
      </x:c>
      <x:c r="E151" s="17" t="str">
        <x:v>曲线近似值</x:v>
      </x:c>
      <x:c r="F151" s="18" t="n">
        <x:v>0.0504</x:v>
      </x:c>
      <x:c r="G151" s="18" t="n">
        <x:v>221.987</x:v>
      </x:c>
      <x:c r="H151" s="18" t="n">
        <x:v>1244.116</x:v>
      </x:c>
      <x:c r="I151" s="2" t="str">
        <x:v>历史图表；最终状态未核验</x:v>
      </x:c>
    </x:row>
    <x:row r="152" ht="24" customHeight="1">
      <x:c r="A152" s="2" t="str">
        <x:v>2013Q3</x:v>
      </x:c>
      <x:c r="B152" s="2" t="str">
        <x:v>Energy</x:v>
      </x:c>
      <x:c r="C152" s="2" t="str">
        <x:v>能源</x:v>
      </x:c>
      <x:c r="D152" s="16" t="n">
        <x:v>10.957</x:v>
      </x:c>
      <x:c r="E152" s="17" t="str">
        <x:v>曲线近似值</x:v>
      </x:c>
      <x:c r="F152" s="18" t="n">
        <x:v>0.2158</x:v>
      </x:c>
      <x:c r="G152" s="18" t="n">
        <x:v>221.987</x:v>
      </x:c>
      <x:c r="H152" s="18" t="n">
        <x:v>1538.129</x:v>
      </x:c>
      <x:c r="I152" s="2" t="str">
        <x:v>历史图表；最终状态未核验</x:v>
      </x:c>
    </x:row>
    <x:row r="153" ht="24" customHeight="1">
      <x:c r="A153" s="2" t="str">
        <x:v>2013Q3</x:v>
      </x:c>
      <x:c r="B153" s="2" t="str">
        <x:v>Financials</x:v>
      </x:c>
      <x:c r="C153" s="2" t="str">
        <x:v>金融</x:v>
      </x:c>
      <x:c r="D153" s="16" t="n">
        <x:v>4.812</x:v>
      </x:c>
      <x:c r="E153" s="17" t="str">
        <x:v>曲线近似值</x:v>
      </x:c>
      <x:c r="F153" s="18" t="n">
        <x:v>0.1007</x:v>
      </x:c>
      <x:c r="G153" s="18" t="n">
        <x:v>221.987</x:v>
      </x:c>
      <x:c r="H153" s="18" t="n">
        <x:v>1959.16</x:v>
      </x:c>
      <x:c r="I153" s="2" t="str">
        <x:v>历史图表；最终状态未核验</x:v>
      </x:c>
    </x:row>
    <x:row r="154" ht="24" customHeight="1">
      <x:c r="A154" s="2" t="str">
        <x:v>2013Q3</x:v>
      </x:c>
      <x:c r="B154" s="2" t="str">
        <x:v>Health Care</x:v>
      </x:c>
      <x:c r="C154" s="2" t="str">
        <x:v>医疗保健</x:v>
      </x:c>
      <x:c r="D154" s="16" t="n">
        <x:v>8.843</x:v>
      </x:c>
      <x:c r="E154" s="17" t="str">
        <x:v>曲线近似值</x:v>
      </x:c>
      <x:c r="F154" s="18" t="n">
        <x:v>0.173</x:v>
      </x:c>
      <x:c r="G154" s="18" t="n">
        <x:v>1181.987</x:v>
      </x:c>
      <x:c r="H154" s="18" t="n">
        <x:v>326.575</x:v>
      </x:c>
      <x:c r="I154" s="2" t="str">
        <x:v>历史图表；最终状态未核验</x:v>
      </x:c>
    </x:row>
    <x:row r="155" ht="24" customHeight="1">
      <x:c r="A155" s="2" t="str">
        <x:v>2013Q3</x:v>
      </x:c>
      <x:c r="B155" s="2" t="str">
        <x:v>Industrials</x:v>
      </x:c>
      <x:c r="C155" s="2" t="str">
        <x:v>工业</x:v>
      </x:c>
      <x:c r="D155" s="16" t="n">
        <x:v>6.643</x:v>
      </x:c>
      <x:c r="E155" s="17" t="str">
        <x:v>曲线近似值</x:v>
      </x:c>
      <x:c r="F155" s="18" t="n">
        <x:v>0.1149</x:v>
      </x:c>
      <x:c r="G155" s="18" t="n">
        <x:v>1181.987</x:v>
      </x:c>
      <x:c r="H155" s="18" t="n">
        <x:v>583.874</x:v>
      </x:c>
      <x:c r="I155" s="2" t="str">
        <x:v>历史图表；最终状态未核验</x:v>
      </x:c>
    </x:row>
    <x:row r="156" ht="24" customHeight="1">
      <x:c r="A156" s="2" t="str">
        <x:v>2013Q3</x:v>
      </x:c>
      <x:c r="B156" s="2" t="str">
        <x:v>Information Technology</x:v>
      </x:c>
      <x:c r="C156" s="2" t="str">
        <x:v>信息技术</x:v>
      </x:c>
      <x:c r="D156" s="16" t="n">
        <x:v>9.155</x:v>
      </x:c>
      <x:c r="E156" s="17" t="str">
        <x:v>曲线近似值</x:v>
      </x:c>
      <x:c r="F156" s="18" t="n">
        <x:v>0.5027</x:v>
      </x:c>
      <x:c r="G156" s="18" t="n">
        <x:v>1181.987</x:v>
      </x:c>
      <x:c r="H156" s="18" t="n">
        <x:v>992.078</x:v>
      </x:c>
      <x:c r="I156" s="2" t="str">
        <x:v>历史图表；最终状态未核验</x:v>
      </x:c>
    </x:row>
    <x:row r="157" ht="24" customHeight="1">
      <x:c r="A157" s="2" t="str">
        <x:v>2013Q3</x:v>
      </x:c>
      <x:c r="B157" s="2" t="str">
        <x:v>Materials</x:v>
      </x:c>
      <x:c r="C157" s="2" t="str">
        <x:v>材料</x:v>
      </x:c>
      <x:c r="D157" s="16" t="n">
        <x:v>3.44</x:v>
      </x:c>
      <x:c r="E157" s="17" t="str">
        <x:v>曲线近似值</x:v>
      </x:c>
      <x:c r="F157" s="18" t="n">
        <x:v>0.0719</x:v>
      </x:c>
      <x:c r="G157" s="18" t="n">
        <x:v>1181.987</x:v>
      </x:c>
      <x:c r="H157" s="18" t="n">
        <x:v>1316.959</x:v>
      </x:c>
      <x:c r="I157" s="2" t="str">
        <x:v>历史图表；最终状态未核验</x:v>
      </x:c>
    </x:row>
    <x:row r="158" ht="24" customHeight="1">
      <x:c r="A158" s="2" t="str">
        <x:v>2013Q3</x:v>
      </x:c>
      <x:c r="B158" s="2" t="str">
        <x:v>Utilities</x:v>
      </x:c>
      <x:c r="C158" s="2" t="str">
        <x:v>公用事业</x:v>
      </x:c>
      <x:c r="D158" s="16" t="n">
        <x:v>4.088</x:v>
      </x:c>
      <x:c r="E158" s="17" t="str">
        <x:v>曲线近似值</x:v>
      </x:c>
      <x:c r="F158" s="18" t="n">
        <x:v>0.036</x:v>
      </x:c>
      <x:c r="G158" s="18" t="n">
        <x:v>1181.987</x:v>
      </x:c>
      <x:c r="H158" s="18" t="n">
        <x:v>1898.915</x:v>
      </x:c>
      <x:c r="I158" s="2" t="str">
        <x:v>历史图表；最终状态未核验</x:v>
      </x:c>
    </x:row>
    <x:row r="159" ht="24" customHeight="1">
      <x:c r="A159" s="2" t="str">
        <x:v>2013Q4</x:v>
      </x:c>
      <x:c r="B159" s="2" t="str">
        <x:v>Communication Services</x:v>
      </x:c>
      <x:c r="C159" s="2" t="str">
        <x:v>通信服务</x:v>
      </x:c>
      <x:c r="D159" s="16" t="n">
        <x:v>2.358</x:v>
      </x:c>
      <x:c r="E159" s="17" t="str">
        <x:v>曲线近似值</x:v>
      </x:c>
      <x:c r="F159" s="18" t="n">
        <x:v>0.0862</x:v>
      </x:c>
      <x:c r="G159" s="18" t="n">
        <x:v>234.047</x:v>
      </x:c>
      <x:c r="H159" s="18" t="n">
        <x:v>644.782</x:v>
      </x:c>
      <x:c r="I159" s="2" t="str">
        <x:v>历史图表；最终状态未核验</x:v>
      </x:c>
    </x:row>
    <x:row r="160" ht="24" customHeight="1">
      <x:c r="A160" s="2" t="str">
        <x:v>2013Q4</x:v>
      </x:c>
      <x:c r="B160" s="2" t="str">
        <x:v>Consumer Discretionary</x:v>
      </x:c>
      <x:c r="C160" s="2" t="str">
        <x:v>可选消费</x:v>
      </x:c>
      <x:c r="D160" s="16" t="n">
        <x:v>7.001</x:v>
      </x:c>
      <x:c r="E160" s="17" t="str">
        <x:v>曲线近似值</x:v>
      </x:c>
      <x:c r="F160" s="18" t="n">
        <x:v>0.2154</x:v>
      </x:c>
      <x:c r="G160" s="18" t="n">
        <x:v>234.047</x:v>
      </x:c>
      <x:c r="H160" s="18" t="n">
        <x:v>963.507</x:v>
      </x:c>
      <x:c r="I160" s="2" t="str">
        <x:v>历史图表；最终状态未核验</x:v>
      </x:c>
    </x:row>
    <x:row r="161" ht="24" customHeight="1">
      <x:c r="A161" s="2" t="str">
        <x:v>2013Q4</x:v>
      </x:c>
      <x:c r="B161" s="2" t="str">
        <x:v>Consumer Staples</x:v>
      </x:c>
      <x:c r="C161" s="2" t="str">
        <x:v>必需消费</x:v>
      </x:c>
      <x:c r="D161" s="16" t="n">
        <x:v>7.291</x:v>
      </x:c>
      <x:c r="E161" s="17" t="str">
        <x:v>曲线近似值</x:v>
      </x:c>
      <x:c r="F161" s="18" t="n">
        <x:v>0.0504</x:v>
      </x:c>
      <x:c r="G161" s="18" t="n">
        <x:v>234.047</x:v>
      </x:c>
      <x:c r="H161" s="18" t="n">
        <x:v>1226.301</x:v>
      </x:c>
      <x:c r="I161" s="2" t="str">
        <x:v>历史图表；最终状态未核验</x:v>
      </x:c>
    </x:row>
    <x:row r="162" ht="24" customHeight="1">
      <x:c r="A162" s="2" t="str">
        <x:v>2013Q4</x:v>
      </x:c>
      <x:c r="B162" s="2" t="str">
        <x:v>Energy</x:v>
      </x:c>
      <x:c r="C162" s="2" t="str">
        <x:v>能源</x:v>
      </x:c>
      <x:c r="D162" s="16" t="n">
        <x:v>11.244</x:v>
      </x:c>
      <x:c r="E162" s="17" t="str">
        <x:v>曲线近似值</x:v>
      </x:c>
      <x:c r="F162" s="18" t="n">
        <x:v>0.2158</x:v>
      </x:c>
      <x:c r="G162" s="18" t="n">
        <x:v>234.047</x:v>
      </x:c>
      <x:c r="H162" s="18" t="n">
        <x:v>1535.474</x:v>
      </x:c>
      <x:c r="I162" s="2" t="str">
        <x:v>历史图表；最终状态未核验</x:v>
      </x:c>
    </x:row>
    <x:row r="163" ht="24" customHeight="1">
      <x:c r="A163" s="2" t="str">
        <x:v>2013Q4</x:v>
      </x:c>
      <x:c r="B163" s="2" t="str">
        <x:v>Financials</x:v>
      </x:c>
      <x:c r="C163" s="2" t="str">
        <x:v>金融</x:v>
      </x:c>
      <x:c r="D163" s="16" t="n">
        <x:v>5.59</x:v>
      </x:c>
      <x:c r="E163" s="17" t="str">
        <x:v>曲线近似值</x:v>
      </x:c>
      <x:c r="F163" s="18" t="n">
        <x:v>0.1007</x:v>
      </x:c>
      <x:c r="G163" s="18" t="n">
        <x:v>234.047</x:v>
      </x:c>
      <x:c r="H163" s="18" t="n">
        <x:v>1943.707</x:v>
      </x:c>
      <x:c r="I163" s="2" t="str">
        <x:v>历史图表；最终状态未核验</x:v>
      </x:c>
    </x:row>
    <x:row r="164" ht="24" customHeight="1">
      <x:c r="A164" s="2" t="str">
        <x:v>2013Q4</x:v>
      </x:c>
      <x:c r="B164" s="2" t="str">
        <x:v>Health Care</x:v>
      </x:c>
      <x:c r="C164" s="2" t="str">
        <x:v>医疗保健</x:v>
      </x:c>
      <x:c r="D164" s="16" t="n">
        <x:v>8.857</x:v>
      </x:c>
      <x:c r="E164" s="17" t="str">
        <x:v>曲线近似值</x:v>
      </x:c>
      <x:c r="F164" s="18" t="n">
        <x:v>0.173</x:v>
      </x:c>
      <x:c r="G164" s="18" t="n">
        <x:v>1194.047</x:v>
      </x:c>
      <x:c r="H164" s="18" t="n">
        <x:v>326.411</x:v>
      </x:c>
      <x:c r="I164" s="2" t="str">
        <x:v>历史图表；最终状态未核验</x:v>
      </x:c>
    </x:row>
    <x:row r="165" ht="24" customHeight="1">
      <x:c r="A165" s="2" t="str">
        <x:v>2013Q4</x:v>
      </x:c>
      <x:c r="B165" s="2" t="str">
        <x:v>Industrials</x:v>
      </x:c>
      <x:c r="C165" s="2" t="str">
        <x:v>工业</x:v>
      </x:c>
      <x:c r="D165" s="16" t="n">
        <x:v>6.71</x:v>
      </x:c>
      <x:c r="E165" s="17" t="str">
        <x:v>曲线近似值</x:v>
      </x:c>
      <x:c r="F165" s="18" t="n">
        <x:v>0.1149</x:v>
      </x:c>
      <x:c r="G165" s="18" t="n">
        <x:v>1194.047</x:v>
      </x:c>
      <x:c r="H165" s="18" t="n">
        <x:v>582.704</x:v>
      </x:c>
      <x:c r="I165" s="2" t="str">
        <x:v>历史图表；最终状态未核验</x:v>
      </x:c>
    </x:row>
    <x:row r="166" ht="24" customHeight="1">
      <x:c r="A166" s="2" t="str">
        <x:v>2013Q4</x:v>
      </x:c>
      <x:c r="B166" s="2" t="str">
        <x:v>Information Technology</x:v>
      </x:c>
      <x:c r="C166" s="2" t="str">
        <x:v>信息技术</x:v>
      </x:c>
      <x:c r="D166" s="16" t="n">
        <x:v>11.124</x:v>
      </x:c>
      <x:c r="E166" s="17" t="str">
        <x:v>曲线近似值</x:v>
      </x:c>
      <x:c r="F166" s="18" t="n">
        <x:v>0.5027</x:v>
      </x:c>
      <x:c r="G166" s="18" t="n">
        <x:v>1194.047</x:v>
      </x:c>
      <x:c r="H166" s="18" t="n">
        <x:v>984.242</x:v>
      </x:c>
      <x:c r="I166" s="2" t="str">
        <x:v>历史图表；最终状态未核验</x:v>
      </x:c>
    </x:row>
    <x:row r="167" ht="24" customHeight="1">
      <x:c r="A167" s="2" t="str">
        <x:v>2013Q4</x:v>
      </x:c>
      <x:c r="B167" s="2" t="str">
        <x:v>Materials</x:v>
      </x:c>
      <x:c r="C167" s="2" t="str">
        <x:v>材料</x:v>
      </x:c>
      <x:c r="D167" s="16" t="n">
        <x:v>3.804</x:v>
      </x:c>
      <x:c r="E167" s="17" t="str">
        <x:v>曲线近似值</x:v>
      </x:c>
      <x:c r="F167" s="18" t="n">
        <x:v>0.0719</x:v>
      </x:c>
      <x:c r="G167" s="18" t="n">
        <x:v>1194.047</x:v>
      </x:c>
      <x:c r="H167" s="18" t="n">
        <x:v>1306.836</x:v>
      </x:c>
      <x:c r="I167" s="2" t="str">
        <x:v>历史图表；最终状态未核验</x:v>
      </x:c>
    </x:row>
    <x:row r="168" ht="24" customHeight="1">
      <x:c r="A168" s="2" t="str">
        <x:v>2013Q4</x:v>
      </x:c>
      <x:c r="B168" s="2" t="str">
        <x:v>Utilities</x:v>
      </x:c>
      <x:c r="C168" s="2" t="str">
        <x:v>公用事业</x:v>
      </x:c>
      <x:c r="D168" s="16" t="n">
        <x:v>2.466</x:v>
      </x:c>
      <x:c r="E168" s="17" t="str">
        <x:v>曲线近似值</x:v>
      </x:c>
      <x:c r="F168" s="18" t="n">
        <x:v>0.036</x:v>
      </x:c>
      <x:c r="G168" s="18" t="n">
        <x:v>1194.047</x:v>
      </x:c>
      <x:c r="H168" s="18" t="n">
        <x:v>1989.097</x:v>
      </x:c>
      <x:c r="I168" s="2" t="str">
        <x:v>历史图表；最终状态未核验</x:v>
      </x:c>
    </x:row>
    <x:row r="169" ht="24" customHeight="1">
      <x:c r="A169" s="2" t="str">
        <x:v>2014Q1</x:v>
      </x:c>
      <x:c r="B169" s="2" t="str">
        <x:v>Communication Services</x:v>
      </x:c>
      <x:c r="C169" s="2" t="str">
        <x:v>通信服务</x:v>
      </x:c>
      <x:c r="D169" s="16" t="n">
        <x:v>2.86</x:v>
      </x:c>
      <x:c r="E169" s="17" t="str">
        <x:v>曲线近似值</x:v>
      </x:c>
      <x:c r="F169" s="18" t="n">
        <x:v>0.0862</x:v>
      </x:c>
      <x:c r="G169" s="18" t="n">
        <x:v>246.108</x:v>
      </x:c>
      <x:c r="H169" s="18" t="n">
        <x:v>633.119</x:v>
      </x:c>
      <x:c r="I169" s="2" t="str">
        <x:v>历史图表；最终状态未核验</x:v>
      </x:c>
    </x:row>
    <x:row r="170" ht="24" customHeight="1">
      <x:c r="A170" s="2" t="str">
        <x:v>2014Q1</x:v>
      </x:c>
      <x:c r="B170" s="2" t="str">
        <x:v>Consumer Discretionary</x:v>
      </x:c>
      <x:c r="C170" s="2" t="str">
        <x:v>可选消费</x:v>
      </x:c>
      <x:c r="D170" s="16" t="n">
        <x:v>6.167</x:v>
      </x:c>
      <x:c r="E170" s="17" t="str">
        <x:v>曲线近似值</x:v>
      </x:c>
      <x:c r="F170" s="18" t="n">
        <x:v>0.2154</x:v>
      </x:c>
      <x:c r="G170" s="18" t="n">
        <x:v>246.108</x:v>
      </x:c>
      <x:c r="H170" s="18" t="n">
        <x:v>971.25</x:v>
      </x:c>
      <x:c r="I170" s="2" t="str">
        <x:v>历史图表；最终状态未核验</x:v>
      </x:c>
    </x:row>
    <x:row r="171" ht="24" customHeight="1">
      <x:c r="A171" s="2" t="str">
        <x:v>2014Q1</x:v>
      </x:c>
      <x:c r="B171" s="2" t="str">
        <x:v>Consumer Staples</x:v>
      </x:c>
      <x:c r="C171" s="2" t="str">
        <x:v>必需消费</x:v>
      </x:c>
      <x:c r="D171" s="16" t="n">
        <x:v>6.258</x:v>
      </x:c>
      <x:c r="E171" s="17" t="str">
        <x:v>曲线近似值</x:v>
      </x:c>
      <x:c r="F171" s="18" t="n">
        <x:v>0.0504</x:v>
      </x:c>
      <x:c r="G171" s="18" t="n">
        <x:v>246.108</x:v>
      </x:c>
      <x:c r="H171" s="18" t="n">
        <x:v>1267.323</x:v>
      </x:c>
      <x:c r="I171" s="2" t="str">
        <x:v>历史图表；最终状态未核验</x:v>
      </x:c>
    </x:row>
    <x:row r="172" ht="24" customHeight="1">
      <x:c r="A172" s="2" t="str">
        <x:v>2014Q1</x:v>
      </x:c>
      <x:c r="B172" s="2" t="str">
        <x:v>Energy</x:v>
      </x:c>
      <x:c r="C172" s="2" t="str">
        <x:v>能源</x:v>
      </x:c>
      <x:c r="D172" s="16" t="n">
        <x:v>11.793</x:v>
      </x:c>
      <x:c r="E172" s="17" t="str">
        <x:v>曲线近似值</x:v>
      </x:c>
      <x:c r="F172" s="18" t="n">
        <x:v>0.2158</x:v>
      </x:c>
      <x:c r="G172" s="18" t="n">
        <x:v>246.108</x:v>
      </x:c>
      <x:c r="H172" s="18" t="n">
        <x:v>1530.383</x:v>
      </x:c>
      <x:c r="I172" s="2" t="str">
        <x:v>历史图表；最终状态未核验</x:v>
      </x:c>
    </x:row>
    <x:row r="173" ht="24" customHeight="1">
      <x:c r="A173" s="2" t="str">
        <x:v>2014Q1</x:v>
      </x:c>
      <x:c r="B173" s="2" t="str">
        <x:v>Financials</x:v>
      </x:c>
      <x:c r="C173" s="2" t="str">
        <x:v>金融</x:v>
      </x:c>
      <x:c r="D173" s="16" t="n">
        <x:v>5.402</x:v>
      </x:c>
      <x:c r="E173" s="17" t="str">
        <x:v>曲线近似值</x:v>
      </x:c>
      <x:c r="F173" s="18" t="n">
        <x:v>0.1007</x:v>
      </x:c>
      <x:c r="G173" s="18" t="n">
        <x:v>246.108</x:v>
      </x:c>
      <x:c r="H173" s="18" t="n">
        <x:v>1947.447</x:v>
      </x:c>
      <x:c r="I173" s="2" t="str">
        <x:v>历史图表；最终状态未核验</x:v>
      </x:c>
    </x:row>
    <x:row r="174" ht="24" customHeight="1">
      <x:c r="A174" s="2" t="str">
        <x:v>2014Q1</x:v>
      </x:c>
      <x:c r="B174" s="2" t="str">
        <x:v>Health Care</x:v>
      </x:c>
      <x:c r="C174" s="2" t="str">
        <x:v>医疗保健</x:v>
      </x:c>
      <x:c r="D174" s="16" t="n">
        <x:v>9.741</x:v>
      </x:c>
      <x:c r="E174" s="17" t="str">
        <x:v>曲线近似值</x:v>
      </x:c>
      <x:c r="F174" s="18" t="n">
        <x:v>0.173</x:v>
      </x:c>
      <x:c r="G174" s="18" t="n">
        <x:v>1206.108</x:v>
      </x:c>
      <x:c r="H174" s="18" t="n">
        <x:v>316.192</x:v>
      </x:c>
      <x:c r="I174" s="2" t="str">
        <x:v>历史图表；最终状态未核验</x:v>
      </x:c>
    </x:row>
    <x:row r="175" ht="24" customHeight="1">
      <x:c r="A175" s="2" t="str">
        <x:v>2014Q1</x:v>
      </x:c>
      <x:c r="B175" s="2" t="str">
        <x:v>Industrials</x:v>
      </x:c>
      <x:c r="C175" s="2" t="str">
        <x:v>工业</x:v>
      </x:c>
      <x:c r="D175" s="16" t="n">
        <x:v>5.981</x:v>
      </x:c>
      <x:c r="E175" s="17" t="str">
        <x:v>曲线近似值</x:v>
      </x:c>
      <x:c r="F175" s="18" t="n">
        <x:v>0.1149</x:v>
      </x:c>
      <x:c r="G175" s="18" t="n">
        <x:v>1206.108</x:v>
      </x:c>
      <x:c r="H175" s="18" t="n">
        <x:v>595.395</x:v>
      </x:c>
      <x:c r="I175" s="2" t="str">
        <x:v>历史图表；最终状态未核验</x:v>
      </x:c>
    </x:row>
    <x:row r="176" ht="24" customHeight="1">
      <x:c r="A176" s="2" t="str">
        <x:v>2014Q1</x:v>
      </x:c>
      <x:c r="B176" s="2" t="str">
        <x:v>Information Technology</x:v>
      </x:c>
      <x:c r="C176" s="2" t="str">
        <x:v>信息技术</x:v>
      </x:c>
      <x:c r="D176" s="16" t="n">
        <x:v>9.504</x:v>
      </x:c>
      <x:c r="E176" s="17" t="str">
        <x:v>曲线近似值</x:v>
      </x:c>
      <x:c r="F176" s="18" t="n">
        <x:v>0.5027</x:v>
      </x:c>
      <x:c r="G176" s="18" t="n">
        <x:v>1206.108</x:v>
      </x:c>
      <x:c r="H176" s="18" t="n">
        <x:v>990.687</x:v>
      </x:c>
      <x:c r="I176" s="2" t="str">
        <x:v>历史图表；最终状态未核验</x:v>
      </x:c>
    </x:row>
    <x:row r="177" ht="24" customHeight="1">
      <x:c r="A177" s="2" t="str">
        <x:v>2014Q1</x:v>
      </x:c>
      <x:c r="B177" s="2" t="str">
        <x:v>Materials</x:v>
      </x:c>
      <x:c r="C177" s="2" t="str">
        <x:v>材料</x:v>
      </x:c>
      <x:c r="D177" s="16" t="n">
        <x:v>4.516</x:v>
      </x:c>
      <x:c r="E177" s="17" t="str">
        <x:v>曲线近似值</x:v>
      </x:c>
      <x:c r="F177" s="18" t="n">
        <x:v>0.0719</x:v>
      </x:c>
      <x:c r="G177" s="18" t="n">
        <x:v>1206.108</x:v>
      </x:c>
      <x:c r="H177" s="18" t="n">
        <x:v>1287.069</x:v>
      </x:c>
      <x:c r="I177" s="2" t="str">
        <x:v>历史图表；最终状态未核验</x:v>
      </x:c>
    </x:row>
    <x:row r="178" ht="24" customHeight="1">
      <x:c r="A178" s="2" t="str">
        <x:v>2014Q1</x:v>
      </x:c>
      <x:c r="B178" s="2" t="str">
        <x:v>Utilities</x:v>
      </x:c>
      <x:c r="C178" s="2" t="str">
        <x:v>公用事业</x:v>
      </x:c>
      <x:c r="D178" s="16" t="n">
        <x:v>3.682</x:v>
      </x:c>
      <x:c r="E178" s="17" t="str">
        <x:v>曲线近似值</x:v>
      </x:c>
      <x:c r="F178" s="18" t="n">
        <x:v>0.036</x:v>
      </x:c>
      <x:c r="G178" s="18" t="n">
        <x:v>1206.108</x:v>
      </x:c>
      <x:c r="H178" s="18" t="n">
        <x:v>1921.484</x:v>
      </x:c>
      <x:c r="I178" s="2" t="str">
        <x:v>历史图表；最终状态未核验</x:v>
      </x:c>
    </x:row>
    <x:row r="179" ht="24" customHeight="1">
      <x:c r="A179" s="2" t="str">
        <x:v>2014Q2</x:v>
      </x:c>
      <x:c r="B179" s="2" t="str">
        <x:v>Communication Services</x:v>
      </x:c>
      <x:c r="C179" s="2" t="str">
        <x:v>通信服务</x:v>
      </x:c>
      <x:c r="D179" s="16" t="n">
        <x:v>2.801</x:v>
      </x:c>
      <x:c r="E179" s="17" t="str">
        <x:v>曲线近似值</x:v>
      </x:c>
      <x:c r="F179" s="18" t="n">
        <x:v>0.0862</x:v>
      </x:c>
      <x:c r="G179" s="18" t="n">
        <x:v>258.007</x:v>
      </x:c>
      <x:c r="H179" s="18" t="n">
        <x:v>634.493</x:v>
      </x:c>
      <x:c r="I179" s="2" t="str">
        <x:v>历史图表；最终状态未核验</x:v>
      </x:c>
    </x:row>
    <x:row r="180" ht="24" customHeight="1">
      <x:c r="A180" s="2" t="str">
        <x:v>2014Q2</x:v>
      </x:c>
      <x:c r="B180" s="2" t="str">
        <x:v>Consumer Discretionary</x:v>
      </x:c>
      <x:c r="C180" s="2" t="str">
        <x:v>可选消费</x:v>
      </x:c>
      <x:c r="D180" s="16" t="n">
        <x:v>7.147</x:v>
      </x:c>
      <x:c r="E180" s="17" t="str">
        <x:v>曲线近似值</x:v>
      </x:c>
      <x:c r="F180" s="18" t="n">
        <x:v>0.2154</x:v>
      </x:c>
      <x:c r="G180" s="18" t="n">
        <x:v>258.007</x:v>
      </x:c>
      <x:c r="H180" s="18" t="n">
        <x:v>962.156</x:v>
      </x:c>
      <x:c r="I180" s="2" t="str">
        <x:v>历史图表；最终状态未核验</x:v>
      </x:c>
    </x:row>
    <x:row r="181" ht="24" customHeight="1">
      <x:c r="A181" s="2" t="str">
        <x:v>2014Q2</x:v>
      </x:c>
      <x:c r="B181" s="2" t="str">
        <x:v>Consumer Staples</x:v>
      </x:c>
      <x:c r="C181" s="2" t="str">
        <x:v>必需消费</x:v>
      </x:c>
      <x:c r="D181" s="16" t="n">
        <x:v>7.19</x:v>
      </x:c>
      <x:c r="E181" s="17" t="str">
        <x:v>曲线近似值</x:v>
      </x:c>
      <x:c r="F181" s="18" t="n">
        <x:v>0.0504</x:v>
      </x:c>
      <x:c r="G181" s="18" t="n">
        <x:v>258.007</x:v>
      </x:c>
      <x:c r="H181" s="18" t="n">
        <x:v>1230.309</x:v>
      </x:c>
      <x:c r="I181" s="2" t="str">
        <x:v>历史图表；最终状态未核验</x:v>
      </x:c>
    </x:row>
    <x:row r="182" ht="24" customHeight="1">
      <x:c r="A182" s="2" t="str">
        <x:v>2014Q2</x:v>
      </x:c>
      <x:c r="B182" s="2" t="str">
        <x:v>Energy</x:v>
      </x:c>
      <x:c r="C182" s="2" t="str">
        <x:v>能源</x:v>
      </x:c>
      <x:c r="D182" s="16" t="n">
        <x:v>12.227</x:v>
      </x:c>
      <x:c r="E182" s="17" t="str">
        <x:v>曲线近似值</x:v>
      </x:c>
      <x:c r="F182" s="18" t="n">
        <x:v>0.2158</x:v>
      </x:c>
      <x:c r="G182" s="18" t="n">
        <x:v>258.007</x:v>
      </x:c>
      <x:c r="H182" s="18" t="n">
        <x:v>1526.363</x:v>
      </x:c>
      <x:c r="I182" s="2" t="str">
        <x:v>历史图表；最终状态未核验</x:v>
      </x:c>
    </x:row>
    <x:row r="183" ht="24" customHeight="1">
      <x:c r="A183" s="2" t="str">
        <x:v>2014Q2</x:v>
      </x:c>
      <x:c r="B183" s="2" t="str">
        <x:v>Financials</x:v>
      </x:c>
      <x:c r="C183" s="2" t="str">
        <x:v>金融</x:v>
      </x:c>
      <x:c r="D183" s="16" t="n">
        <x:v>5.396</x:v>
      </x:c>
      <x:c r="E183" s="17" t="str">
        <x:v>曲线近似值</x:v>
      </x:c>
      <x:c r="F183" s="18" t="n">
        <x:v>0.1007</x:v>
      </x:c>
      <x:c r="G183" s="18" t="n">
        <x:v>258.007</x:v>
      </x:c>
      <x:c r="H183" s="18" t="n">
        <x:v>1947.558</x:v>
      </x:c>
      <x:c r="I183" s="2" t="str">
        <x:v>历史图表；最终状态未核验</x:v>
      </x:c>
    </x:row>
    <x:row r="184" ht="24" customHeight="1">
      <x:c r="A184" s="2" t="str">
        <x:v>2014Q2</x:v>
      </x:c>
      <x:c r="B184" s="2" t="str">
        <x:v>Health Care</x:v>
      </x:c>
      <x:c r="C184" s="2" t="str">
        <x:v>医疗保健</x:v>
      </x:c>
      <x:c r="D184" s="16" t="n">
        <x:v>10.873</x:v>
      </x:c>
      <x:c r="E184" s="17" t="str">
        <x:v>曲线近似值</x:v>
      </x:c>
      <x:c r="F184" s="18" t="n">
        <x:v>0.173</x:v>
      </x:c>
      <x:c r="G184" s="18" t="n">
        <x:v>1218.007</x:v>
      </x:c>
      <x:c r="H184" s="18" t="n">
        <x:v>303.112</x:v>
      </x:c>
      <x:c r="I184" s="2" t="str">
        <x:v>历史图表；最终状态未核验</x:v>
      </x:c>
    </x:row>
    <x:row r="185" ht="24" customHeight="1">
      <x:c r="A185" s="2" t="str">
        <x:v>2014Q2</x:v>
      </x:c>
      <x:c r="B185" s="2" t="str">
        <x:v>Industrials</x:v>
      </x:c>
      <x:c r="C185" s="2" t="str">
        <x:v>工业</x:v>
      </x:c>
      <x:c r="D185" s="16" t="n">
        <x:v>7.309</x:v>
      </x:c>
      <x:c r="E185" s="17" t="str">
        <x:v>曲线近似值</x:v>
      </x:c>
      <x:c r="F185" s="18" t="n">
        <x:v>0.1149</x:v>
      </x:c>
      <x:c r="G185" s="18" t="n">
        <x:v>1218.007</x:v>
      </x:c>
      <x:c r="H185" s="18" t="n">
        <x:v>572.27</x:v>
      </x:c>
      <x:c r="I185" s="2" t="str">
        <x:v>历史图表；最终状态未核验</x:v>
      </x:c>
    </x:row>
    <x:row r="186" ht="24" customHeight="1">
      <x:c r="A186" s="2" t="str">
        <x:v>2014Q2</x:v>
      </x:c>
      <x:c r="B186" s="2" t="str">
        <x:v>Information Technology</x:v>
      </x:c>
      <x:c r="C186" s="2" t="str">
        <x:v>信息技术</x:v>
      </x:c>
      <x:c r="D186" s="16" t="n">
        <x:v>9.574</x:v>
      </x:c>
      <x:c r="E186" s="17" t="str">
        <x:v>曲线近似值</x:v>
      </x:c>
      <x:c r="F186" s="18" t="n">
        <x:v>0.5027</x:v>
      </x:c>
      <x:c r="G186" s="18" t="n">
        <x:v>1218.007</x:v>
      </x:c>
      <x:c r="H186" s="18" t="n">
        <x:v>990.408</x:v>
      </x:c>
      <x:c r="I186" s="2" t="str">
        <x:v>历史图表；最终状态未核验</x:v>
      </x:c>
    </x:row>
    <x:row r="187" ht="24" customHeight="1">
      <x:c r="A187" s="2" t="str">
        <x:v>2014Q2</x:v>
      </x:c>
      <x:c r="B187" s="2" t="str">
        <x:v>Materials</x:v>
      </x:c>
      <x:c r="C187" s="2" t="str">
        <x:v>材料</x:v>
      </x:c>
      <x:c r="D187" s="16" t="n">
        <x:v>4.696</x:v>
      </x:c>
      <x:c r="E187" s="17" t="str">
        <x:v>曲线近似值</x:v>
      </x:c>
      <x:c r="F187" s="18" t="n">
        <x:v>0.0719</x:v>
      </x:c>
      <x:c r="G187" s="18" t="n">
        <x:v>1218.007</x:v>
      </x:c>
      <x:c r="H187" s="18" t="n">
        <x:v>1282.061</x:v>
      </x:c>
      <x:c r="I187" s="2" t="str">
        <x:v>历史图表；最终状态未核验</x:v>
      </x:c>
    </x:row>
    <x:row r="188" ht="24" customHeight="1">
      <x:c r="A188" s="2" t="str">
        <x:v>2014Q2</x:v>
      </x:c>
      <x:c r="B188" s="2" t="str">
        <x:v>Utilities</x:v>
      </x:c>
      <x:c r="C188" s="2" t="str">
        <x:v>公用事业</x:v>
      </x:c>
      <x:c r="D188" s="16" t="n">
        <x:v>2.865</x:v>
      </x:c>
      <x:c r="E188" s="17" t="str">
        <x:v>曲线近似值</x:v>
      </x:c>
      <x:c r="F188" s="18" t="n">
        <x:v>0.036</x:v>
      </x:c>
      <x:c r="G188" s="18" t="n">
        <x:v>1218.007</x:v>
      </x:c>
      <x:c r="H188" s="18" t="n">
        <x:v>1966.879</x:v>
      </x:c>
      <x:c r="I188" s="2" t="str">
        <x:v>历史图表；最终状态未核验</x:v>
      </x:c>
    </x:row>
    <x:row r="189" ht="24" customHeight="1">
      <x:c r="A189" s="2" t="str">
        <x:v>2014Q3</x:v>
      </x:c>
      <x:c r="B189" s="2" t="str">
        <x:v>Communication Services</x:v>
      </x:c>
      <x:c r="C189" s="2" t="str">
        <x:v>通信服务</x:v>
      </x:c>
      <x:c r="D189" s="16" t="n">
        <x:v>2.788</x:v>
      </x:c>
      <x:c r="E189" s="17" t="str">
        <x:v>曲线近似值</x:v>
      </x:c>
      <x:c r="F189" s="18" t="n">
        <x:v>0.0862</x:v>
      </x:c>
      <x:c r="G189" s="18" t="n">
        <x:v>270.296</x:v>
      </x:c>
      <x:c r="H189" s="18" t="n">
        <x:v>634.799</x:v>
      </x:c>
      <x:c r="I189" s="2" t="str">
        <x:v>历史图表；最终状态未核验</x:v>
      </x:c>
    </x:row>
    <x:row r="190" ht="24" customHeight="1">
      <x:c r="A190" s="2" t="str">
        <x:v>2014Q3</x:v>
      </x:c>
      <x:c r="B190" s="2" t="str">
        <x:v>Consumer Discretionary</x:v>
      </x:c>
      <x:c r="C190" s="2" t="str">
        <x:v>可选消费</x:v>
      </x:c>
      <x:c r="D190" s="16" t="n">
        <x:v>7.284</x:v>
      </x:c>
      <x:c r="E190" s="17" t="str">
        <x:v>曲线近似值</x:v>
      </x:c>
      <x:c r="F190" s="18" t="n">
        <x:v>0.2154</x:v>
      </x:c>
      <x:c r="G190" s="18" t="n">
        <x:v>270.296</x:v>
      </x:c>
      <x:c r="H190" s="18" t="n">
        <x:v>960.883</x:v>
      </x:c>
      <x:c r="I190" s="2" t="str">
        <x:v>历史图表；最终状态未核验</x:v>
      </x:c>
    </x:row>
    <x:row r="191" ht="24" customHeight="1">
      <x:c r="A191" s="2" t="str">
        <x:v>2014Q3</x:v>
      </x:c>
      <x:c r="B191" s="2" t="str">
        <x:v>Consumer Staples</x:v>
      </x:c>
      <x:c r="C191" s="2" t="str">
        <x:v>必需消费</x:v>
      </x:c>
      <x:c r="D191" s="16" t="n">
        <x:v>7.267</x:v>
      </x:c>
      <x:c r="E191" s="17" t="str">
        <x:v>曲线近似值</x:v>
      </x:c>
      <x:c r="F191" s="18" t="n">
        <x:v>0.0504</x:v>
      </x:c>
      <x:c r="G191" s="18" t="n">
        <x:v>270.296</x:v>
      </x:c>
      <x:c r="H191" s="18" t="n">
        <x:v>1227.261</x:v>
      </x:c>
      <x:c r="I191" s="2" t="str">
        <x:v>历史图表；最终状态未核验</x:v>
      </x:c>
    </x:row>
    <x:row r="192" ht="24" customHeight="1">
      <x:c r="A192" s="2" t="str">
        <x:v>2014Q3</x:v>
      </x:c>
      <x:c r="B192" s="2" t="str">
        <x:v>Energy</x:v>
      </x:c>
      <x:c r="C192" s="2" t="str">
        <x:v>能源</x:v>
      </x:c>
      <x:c r="D192" s="16" t="n">
        <x:v>12.173</x:v>
      </x:c>
      <x:c r="E192" s="17" t="str">
        <x:v>曲线近似值</x:v>
      </x:c>
      <x:c r="F192" s="18" t="n">
        <x:v>0.2158</x:v>
      </x:c>
      <x:c r="G192" s="18" t="n">
        <x:v>270.296</x:v>
      </x:c>
      <x:c r="H192" s="18" t="n">
        <x:v>1526.865</x:v>
      </x:c>
      <x:c r="I192" s="2" t="str">
        <x:v>历史图表；最终状态未核验</x:v>
      </x:c>
    </x:row>
    <x:row r="193" ht="24" customHeight="1">
      <x:c r="A193" s="2" t="str">
        <x:v>2014Q3</x:v>
      </x:c>
      <x:c r="B193" s="2" t="str">
        <x:v>Financials</x:v>
      </x:c>
      <x:c r="C193" s="2" t="str">
        <x:v>金融</x:v>
      </x:c>
      <x:c r="D193" s="16" t="n">
        <x:v>5.463</x:v>
      </x:c>
      <x:c r="E193" s="17" t="str">
        <x:v>曲线近似值</x:v>
      </x:c>
      <x:c r="F193" s="18" t="n">
        <x:v>0.1007</x:v>
      </x:c>
      <x:c r="G193" s="18" t="n">
        <x:v>270.296</x:v>
      </x:c>
      <x:c r="H193" s="18" t="n">
        <x:v>1946.233</x:v>
      </x:c>
      <x:c r="I193" s="2" t="str">
        <x:v>历史图表；最终状态未核验</x:v>
      </x:c>
    </x:row>
    <x:row r="194" ht="24" customHeight="1">
      <x:c r="A194" s="2" t="str">
        <x:v>2014Q3</x:v>
      </x:c>
      <x:c r="B194" s="2" t="str">
        <x:v>Health Care</x:v>
      </x:c>
      <x:c r="C194" s="2" t="str">
        <x:v>医疗保健</x:v>
      </x:c>
      <x:c r="D194" s="16" t="n">
        <x:v>10.767</x:v>
      </x:c>
      <x:c r="E194" s="17" t="str">
        <x:v>曲线近似值</x:v>
      </x:c>
      <x:c r="F194" s="18" t="n">
        <x:v>0.173</x:v>
      </x:c>
      <x:c r="G194" s="18" t="n">
        <x:v>1230.296</x:v>
      </x:c>
      <x:c r="H194" s="18" t="n">
        <x:v>304.336</x:v>
      </x:c>
      <x:c r="I194" s="2" t="str">
        <x:v>历史图表；最终状态未核验</x:v>
      </x:c>
    </x:row>
    <x:row r="195" ht="24" customHeight="1">
      <x:c r="A195" s="2" t="str">
        <x:v>2014Q3</x:v>
      </x:c>
      <x:c r="B195" s="2" t="str">
        <x:v>Industrials</x:v>
      </x:c>
      <x:c r="C195" s="2" t="str">
        <x:v>工业</x:v>
      </x:c>
      <x:c r="D195" s="16" t="n">
        <x:v>7.473</x:v>
      </x:c>
      <x:c r="E195" s="17" t="str">
        <x:v>曲线近似值</x:v>
      </x:c>
      <x:c r="F195" s="18" t="n">
        <x:v>0.1149</x:v>
      </x:c>
      <x:c r="G195" s="18" t="n">
        <x:v>1230.296</x:v>
      </x:c>
      <x:c r="H195" s="18" t="n">
        <x:v>569.426</x:v>
      </x:c>
      <x:c r="I195" s="2" t="str">
        <x:v>历史图表；最终状态未核验</x:v>
      </x:c>
    </x:row>
    <x:row r="196" ht="24" customHeight="1">
      <x:c r="A196" s="2" t="str">
        <x:v>2014Q3</x:v>
      </x:c>
      <x:c r="B196" s="2" t="str">
        <x:v>Information Technology</x:v>
      </x:c>
      <x:c r="C196" s="2" t="str">
        <x:v>信息技术</x:v>
      </x:c>
      <x:c r="D196" s="16" t="n">
        <x:v>9.53</x:v>
      </x:c>
      <x:c r="E196" s="17" t="str">
        <x:v>曲线近似值</x:v>
      </x:c>
      <x:c r="F196" s="18" t="n">
        <x:v>0.5027</x:v>
      </x:c>
      <x:c r="G196" s="18" t="n">
        <x:v>1230.296</x:v>
      </x:c>
      <x:c r="H196" s="18" t="n">
        <x:v>990.584</x:v>
      </x:c>
      <x:c r="I196" s="2" t="str">
        <x:v>历史图表；最终状态未核验</x:v>
      </x:c>
    </x:row>
    <x:row r="197" ht="24" customHeight="1">
      <x:c r="A197" s="2" t="str">
        <x:v>2014Q3</x:v>
      </x:c>
      <x:c r="B197" s="2" t="str">
        <x:v>Materials</x:v>
      </x:c>
      <x:c r="C197" s="2" t="str">
        <x:v>材料</x:v>
      </x:c>
      <x:c r="D197" s="16" t="n">
        <x:v>4.179</x:v>
      </x:c>
      <x:c r="E197" s="17" t="str">
        <x:v>曲线近似值</x:v>
      </x:c>
      <x:c r="F197" s="18" t="n">
        <x:v>0.0719</x:v>
      </x:c>
      <x:c r="G197" s="18" t="n">
        <x:v>1230.296</x:v>
      </x:c>
      <x:c r="H197" s="18" t="n">
        <x:v>1296.425</x:v>
      </x:c>
      <x:c r="I197" s="2" t="str">
        <x:v>历史图表；最终状态未核验</x:v>
      </x:c>
    </x:row>
    <x:row r="198" ht="24" customHeight="1">
      <x:c r="A198" s="2" t="str">
        <x:v>2014Q3</x:v>
      </x:c>
      <x:c r="B198" s="2" t="str">
        <x:v>Utilities</x:v>
      </x:c>
      <x:c r="C198" s="2" t="str">
        <x:v>公用事业</x:v>
      </x:c>
      <x:c r="D198" s="16" t="n">
        <x:v>4.264</x:v>
      </x:c>
      <x:c r="E198" s="17" t="str">
        <x:v>曲线近似值</x:v>
      </x:c>
      <x:c r="F198" s="18" t="n">
        <x:v>0.036</x:v>
      </x:c>
      <x:c r="G198" s="18" t="n">
        <x:v>1230.296</x:v>
      </x:c>
      <x:c r="H198" s="18" t="n">
        <x:v>1889.094</x:v>
      </x:c>
      <x:c r="I198" s="2" t="str">
        <x:v>历史图表；最终状态未核验</x:v>
      </x:c>
    </x:row>
    <x:row r="199" ht="24" customHeight="1">
      <x:c r="A199" s="2" t="str">
        <x:v>2014Q4</x:v>
      </x:c>
      <x:c r="B199" s="2" t="str">
        <x:v>Communication Services</x:v>
      </x:c>
      <x:c r="C199" s="2" t="str">
        <x:v>通信服务</x:v>
      </x:c>
      <x:c r="D199" s="16" t="n">
        <x:v>2.242</x:v>
      </x:c>
      <x:c r="E199" s="17" t="str">
        <x:v>曲线近似值</x:v>
      </x:c>
      <x:c r="F199" s="18" t="n">
        <x:v>0.0862</x:v>
      </x:c>
      <x:c r="G199" s="18" t="n">
        <x:v>282.109</x:v>
      </x:c>
      <x:c r="H199" s="18" t="n">
        <x:v>647.476</x:v>
      </x:c>
      <x:c r="I199" s="2" t="str">
        <x:v>历史图表；最终状态未核验</x:v>
      </x:c>
    </x:row>
    <x:row r="200" ht="24" customHeight="1">
      <x:c r="A200" s="2" t="str">
        <x:v>2014Q4</x:v>
      </x:c>
      <x:c r="B200" s="2" t="str">
        <x:v>Consumer Discretionary</x:v>
      </x:c>
      <x:c r="C200" s="2" t="str">
        <x:v>可选消费</x:v>
      </x:c>
      <x:c r="D200" s="16" t="n">
        <x:v>7.848</x:v>
      </x:c>
      <x:c r="E200" s="17" t="str">
        <x:v>曲线近似值</x:v>
      </x:c>
      <x:c r="F200" s="18" t="n">
        <x:v>0.2154</x:v>
      </x:c>
      <x:c r="G200" s="18" t="n">
        <x:v>282.109</x:v>
      </x:c>
      <x:c r="H200" s="18" t="n">
        <x:v>955.647</x:v>
      </x:c>
      <x:c r="I200" s="2" t="str">
        <x:v>历史图表；最终状态未核验</x:v>
      </x:c>
    </x:row>
    <x:row r="201" ht="24" customHeight="1">
      <x:c r="A201" s="2" t="str">
        <x:v>2014Q4</x:v>
      </x:c>
      <x:c r="B201" s="2" t="str">
        <x:v>Consumer Staples</x:v>
      </x:c>
      <x:c r="C201" s="2" t="str">
        <x:v>必需消费</x:v>
      </x:c>
      <x:c r="D201" s="16" t="n">
        <x:v>7.258</x:v>
      </x:c>
      <x:c r="E201" s="17" t="str">
        <x:v>曲线近似值</x:v>
      </x:c>
      <x:c r="F201" s="18" t="n">
        <x:v>0.0504</x:v>
      </x:c>
      <x:c r="G201" s="18" t="n">
        <x:v>282.109</x:v>
      </x:c>
      <x:c r="H201" s="18" t="n">
        <x:v>1227.625</x:v>
      </x:c>
      <x:c r="I201" s="2" t="str">
        <x:v>历史图表；最终状态未核验</x:v>
      </x:c>
    </x:row>
    <x:row r="202" ht="24" customHeight="1">
      <x:c r="A202" s="2" t="str">
        <x:v>2014Q4</x:v>
      </x:c>
      <x:c r="B202" s="2" t="str">
        <x:v>Energy</x:v>
      </x:c>
      <x:c r="C202" s="2" t="str">
        <x:v>能源</x:v>
      </x:c>
      <x:c r="D202" s="16" t="n">
        <x:v>8.578</x:v>
      </x:c>
      <x:c r="E202" s="17" t="str">
        <x:v>曲线近似值</x:v>
      </x:c>
      <x:c r="F202" s="18" t="n">
        <x:v>0.2158</x:v>
      </x:c>
      <x:c r="G202" s="18" t="n">
        <x:v>282.109</x:v>
      </x:c>
      <x:c r="H202" s="18" t="n">
        <x:v>1560.181</x:v>
      </x:c>
      <x:c r="I202" s="2" t="str">
        <x:v>历史图表；最终状态未核验</x:v>
      </x:c>
    </x:row>
    <x:row r="203" ht="24" customHeight="1">
      <x:c r="A203" s="2" t="str">
        <x:v>2014Q4</x:v>
      </x:c>
      <x:c r="B203" s="2" t="str">
        <x:v>Financials</x:v>
      </x:c>
      <x:c r="C203" s="2" t="str">
        <x:v>金融</x:v>
      </x:c>
      <x:c r="D203" s="16" t="n">
        <x:v>5.332</x:v>
      </x:c>
      <x:c r="E203" s="17" t="str">
        <x:v>曲线近似值</x:v>
      </x:c>
      <x:c r="F203" s="18" t="n">
        <x:v>0.1007</x:v>
      </x:c>
      <x:c r="G203" s="18" t="n">
        <x:v>282.109</x:v>
      </x:c>
      <x:c r="H203" s="18" t="n">
        <x:v>1948.843</x:v>
      </x:c>
      <x:c r="I203" s="2" t="str">
        <x:v>历史图表；最终状态未核验</x:v>
      </x:c>
    </x:row>
    <x:row r="204" ht="24" customHeight="1">
      <x:c r="A204" s="2" t="str">
        <x:v>2014Q4</x:v>
      </x:c>
      <x:c r="B204" s="2" t="str">
        <x:v>Health Care</x:v>
      </x:c>
      <x:c r="C204" s="2" t="str">
        <x:v>医疗保健</x:v>
      </x:c>
      <x:c r="D204" s="16" t="n">
        <x:v>11.228</x:v>
      </x:c>
      <x:c r="E204" s="17" t="str">
        <x:v>曲线近似值</x:v>
      </x:c>
      <x:c r="F204" s="18" t="n">
        <x:v>0.173</x:v>
      </x:c>
      <x:c r="G204" s="18" t="n">
        <x:v>1242.109</x:v>
      </x:c>
      <x:c r="H204" s="18" t="n">
        <x:v>299.007</x:v>
      </x:c>
      <x:c r="I204" s="2" t="str">
        <x:v>历史图表；最终状态未核验</x:v>
      </x:c>
    </x:row>
    <x:row r="205" ht="24" customHeight="1">
      <x:c r="A205" s="2" t="str">
        <x:v>2014Q4</x:v>
      </x:c>
      <x:c r="B205" s="2" t="str">
        <x:v>Industrials</x:v>
      </x:c>
      <x:c r="C205" s="2" t="str">
        <x:v>工业</x:v>
      </x:c>
      <x:c r="D205" s="16" t="n">
        <x:v>7.842</x:v>
      </x:c>
      <x:c r="E205" s="17" t="str">
        <x:v>曲线近似值</x:v>
      </x:c>
      <x:c r="F205" s="18" t="n">
        <x:v>0.1149</x:v>
      </x:c>
      <x:c r="G205" s="18" t="n">
        <x:v>1242.109</x:v>
      </x:c>
      <x:c r="H205" s="18" t="n">
        <x:v>563.006</x:v>
      </x:c>
      <x:c r="I205" s="2" t="str">
        <x:v>历史图表；最终状态未核验</x:v>
      </x:c>
    </x:row>
    <x:row r="206" ht="24" customHeight="1">
      <x:c r="A206" s="2" t="str">
        <x:v>2014Q4</x:v>
      </x:c>
      <x:c r="B206" s="2" t="str">
        <x:v>Information Technology</x:v>
      </x:c>
      <x:c r="C206" s="2" t="str">
        <x:v>信息技术</x:v>
      </x:c>
      <x:c r="D206" s="16" t="n">
        <x:v>12.428</x:v>
      </x:c>
      <x:c r="E206" s="17" t="str">
        <x:v>曲线近似值</x:v>
      </x:c>
      <x:c r="F206" s="18" t="n">
        <x:v>0.5027</x:v>
      </x:c>
      <x:c r="G206" s="18" t="n">
        <x:v>1242.109</x:v>
      </x:c>
      <x:c r="H206" s="18" t="n">
        <x:v>979.054</x:v>
      </x:c>
      <x:c r="I206" s="2" t="str">
        <x:v>历史图表；最终状态未核验</x:v>
      </x:c>
    </x:row>
    <x:row r="207" ht="24" customHeight="1">
      <x:c r="A207" s="2" t="str">
        <x:v>2014Q4</x:v>
      </x:c>
      <x:c r="B207" s="2" t="str">
        <x:v>Materials</x:v>
      </x:c>
      <x:c r="C207" s="2" t="str">
        <x:v>材料</x:v>
      </x:c>
      <x:c r="D207" s="16" t="n">
        <x:v>3.997</x:v>
      </x:c>
      <x:c r="E207" s="17" t="str">
        <x:v>曲线近似值</x:v>
      </x:c>
      <x:c r="F207" s="18" t="n">
        <x:v>0.0719</x:v>
      </x:c>
      <x:c r="G207" s="18" t="n">
        <x:v>1242.109</x:v>
      </x:c>
      <x:c r="H207" s="18" t="n">
        <x:v>1301.492</x:v>
      </x:c>
      <x:c r="I207" s="2" t="str">
        <x:v>历史图表；最终状态未核验</x:v>
      </x:c>
    </x:row>
    <x:row r="208" ht="24" customHeight="1">
      <x:c r="A208" s="2" t="str">
        <x:v>2014Q4</x:v>
      </x:c>
      <x:c r="B208" s="2" t="str">
        <x:v>Utilities</x:v>
      </x:c>
      <x:c r="C208" s="2" t="str">
        <x:v>公用事业</x:v>
      </x:c>
      <x:c r="D208" s="16" t="n">
        <x:v>2.774</x:v>
      </x:c>
      <x:c r="E208" s="17" t="str">
        <x:v>曲线近似值</x:v>
      </x:c>
      <x:c r="F208" s="18" t="n">
        <x:v>0.036</x:v>
      </x:c>
      <x:c r="G208" s="18" t="n">
        <x:v>1242.109</x:v>
      </x:c>
      <x:c r="H208" s="18" t="n">
        <x:v>1971.943</x:v>
      </x:c>
      <x:c r="I208" s="2" t="str">
        <x:v>历史图表；最终状态未核验</x:v>
      </x:c>
    </x:row>
    <x:row r="209" ht="24" customHeight="1">
      <x:c r="A209" s="2" t="str">
        <x:v>2015Q1</x:v>
      </x:c>
      <x:c r="B209" s="2" t="str">
        <x:v>Communication Services</x:v>
      </x:c>
      <x:c r="C209" s="2" t="str">
        <x:v>通信服务</x:v>
      </x:c>
      <x:c r="D209" s="16" t="n">
        <x:v>2.911</x:v>
      </x:c>
      <x:c r="E209" s="17" t="str">
        <x:v>曲线近似值</x:v>
      </x:c>
      <x:c r="F209" s="18" t="n">
        <x:v>0.0862</x:v>
      </x:c>
      <x:c r="G209" s="18" t="n">
        <x:v>294.067</x:v>
      </x:c>
      <x:c r="H209" s="18" t="n">
        <x:v>631.933</x:v>
      </x:c>
      <x:c r="I209" s="2" t="str">
        <x:v>历史图表；最终状态未核验</x:v>
      </x:c>
    </x:row>
    <x:row r="210" ht="24" customHeight="1">
      <x:c r="A210" s="2" t="str">
        <x:v>2015Q1</x:v>
      </x:c>
      <x:c r="B210" s="2" t="str">
        <x:v>Consumer Discretionary</x:v>
      </x:c>
      <x:c r="C210" s="2" t="str">
        <x:v>可选消费</x:v>
      </x:c>
      <x:c r="D210" s="16" t="n">
        <x:v>6.607</x:v>
      </x:c>
      <x:c r="E210" s="17" t="str">
        <x:v>曲线近似值</x:v>
      </x:c>
      <x:c r="F210" s="18" t="n">
        <x:v>0.2154</x:v>
      </x:c>
      <x:c r="G210" s="18" t="n">
        <x:v>294.067</x:v>
      </x:c>
      <x:c r="H210" s="18" t="n">
        <x:v>967.162</x:v>
      </x:c>
      <x:c r="I210" s="2" t="str">
        <x:v>历史图表；最终状态未核验</x:v>
      </x:c>
    </x:row>
    <x:row r="211" ht="24" customHeight="1">
      <x:c r="A211" s="2" t="str">
        <x:v>2015Q1</x:v>
      </x:c>
      <x:c r="B211" s="2" t="str">
        <x:v>Consumer Staples</x:v>
      </x:c>
      <x:c r="C211" s="2" t="str">
        <x:v>必需消费</x:v>
      </x:c>
      <x:c r="D211" s="16" t="n">
        <x:v>6.615</x:v>
      </x:c>
      <x:c r="E211" s="17" t="str">
        <x:v>曲线近似值</x:v>
      </x:c>
      <x:c r="F211" s="18" t="n">
        <x:v>0.0504</x:v>
      </x:c>
      <x:c r="G211" s="18" t="n">
        <x:v>294.067</x:v>
      </x:c>
      <x:c r="H211" s="18" t="n">
        <x:v>1253.157</x:v>
      </x:c>
      <x:c r="I211" s="2" t="str">
        <x:v>历史图表；最终状态未核验</x:v>
      </x:c>
    </x:row>
    <x:row r="212" ht="24" customHeight="1">
      <x:c r="A212" s="2" t="str">
        <x:v>2015Q1</x:v>
      </x:c>
      <x:c r="B212" s="2" t="str">
        <x:v>Energy</x:v>
      </x:c>
      <x:c r="C212" s="2" t="str">
        <x:v>能源</x:v>
      </x:c>
      <x:c r="D212" s="16" t="n">
        <x:v>4.931</x:v>
      </x:c>
      <x:c r="E212" s="17" t="str">
        <x:v>曲线近似值</x:v>
      </x:c>
      <x:c r="F212" s="18" t="n">
        <x:v>0.2158</x:v>
      </x:c>
      <x:c r="G212" s="18" t="n">
        <x:v>294.067</x:v>
      </x:c>
      <x:c r="H212" s="18" t="n">
        <x:v>1593.97</x:v>
      </x:c>
      <x:c r="I212" s="2" t="str">
        <x:v>历史图表；最终状态未核验</x:v>
      </x:c>
    </x:row>
    <x:row r="213" ht="24" customHeight="1">
      <x:c r="A213" s="2" t="str">
        <x:v>2015Q1</x:v>
      </x:c>
      <x:c r="B213" s="2" t="str">
        <x:v>Financials</x:v>
      </x:c>
      <x:c r="C213" s="2" t="str">
        <x:v>金融</x:v>
      </x:c>
      <x:c r="D213" s="16" t="n">
        <x:v>6.181</x:v>
      </x:c>
      <x:c r="E213" s="17" t="str">
        <x:v>曲线近似值</x:v>
      </x:c>
      <x:c r="F213" s="18" t="n">
        <x:v>0.1007</x:v>
      </x:c>
      <x:c r="G213" s="18" t="n">
        <x:v>294.067</x:v>
      </x:c>
      <x:c r="H213" s="18" t="n">
        <x:v>1931.976</x:v>
      </x:c>
      <x:c r="I213" s="2" t="str">
        <x:v>历史图表；最终状态未核验</x:v>
      </x:c>
    </x:row>
    <x:row r="214" ht="24" customHeight="1">
      <x:c r="A214" s="2" t="str">
        <x:v>2015Q1</x:v>
      </x:c>
      <x:c r="B214" s="2" t="str">
        <x:v>Health Care</x:v>
      </x:c>
      <x:c r="C214" s="2" t="str">
        <x:v>医疗保健</x:v>
      </x:c>
      <x:c r="D214" s="16" t="n">
        <x:v>11.997</x:v>
      </x:c>
      <x:c r="E214" s="17" t="str">
        <x:v>曲线近似值</x:v>
      </x:c>
      <x:c r="F214" s="18" t="n">
        <x:v>0.173</x:v>
      </x:c>
      <x:c r="G214" s="18" t="n">
        <x:v>1254.067</x:v>
      </x:c>
      <x:c r="H214" s="18" t="n">
        <x:v>290.111</x:v>
      </x:c>
      <x:c r="I214" s="2" t="str">
        <x:v>历史图表；最终状态未核验</x:v>
      </x:c>
    </x:row>
    <x:row r="215" ht="24" customHeight="1">
      <x:c r="A215" s="2" t="str">
        <x:v>2015Q1</x:v>
      </x:c>
      <x:c r="B215" s="2" t="str">
        <x:v>Industrials</x:v>
      </x:c>
      <x:c r="C215" s="2" t="str">
        <x:v>工业</x:v>
      </x:c>
      <x:c r="D215" s="16" t="n">
        <x:v>6.264</x:v>
      </x:c>
      <x:c r="E215" s="17" t="str">
        <x:v>曲线近似值</x:v>
      </x:c>
      <x:c r="F215" s="18" t="n">
        <x:v>0.1149</x:v>
      </x:c>
      <x:c r="G215" s="18" t="n">
        <x:v>1254.067</x:v>
      </x:c>
      <x:c r="H215" s="18" t="n">
        <x:v>590.462</x:v>
      </x:c>
      <x:c r="I215" s="2" t="str">
        <x:v>历史图表；最终状态未核验</x:v>
      </x:c>
    </x:row>
    <x:row r="216" ht="24" customHeight="1">
      <x:c r="A216" s="2" t="str">
        <x:v>2015Q1</x:v>
      </x:c>
      <x:c r="B216" s="2" t="str">
        <x:v>Information Technology</x:v>
      </x:c>
      <x:c r="C216" s="2" t="str">
        <x:v>信息技术</x:v>
      </x:c>
      <x:c r="D216" s="16" t="n">
        <x:v>10.149</x:v>
      </x:c>
      <x:c r="E216" s="17" t="str">
        <x:v>曲线近似值</x:v>
      </x:c>
      <x:c r="F216" s="18" t="n">
        <x:v>0.5027</x:v>
      </x:c>
      <x:c r="G216" s="18" t="n">
        <x:v>1254.067</x:v>
      </x:c>
      <x:c r="H216" s="18" t="n">
        <x:v>988.123</x:v>
      </x:c>
      <x:c r="I216" s="2" t="str">
        <x:v>历史图表；最终状态未核验</x:v>
      </x:c>
    </x:row>
    <x:row r="217" ht="24" customHeight="1">
      <x:c r="A217" s="2" t="str">
        <x:v>2015Q1</x:v>
      </x:c>
      <x:c r="B217" s="2" t="str">
        <x:v>Materials</x:v>
      </x:c>
      <x:c r="C217" s="2" t="str">
        <x:v>材料</x:v>
      </x:c>
      <x:c r="D217" s="16" t="n">
        <x:v>4.608</x:v>
      </x:c>
      <x:c r="E217" s="17" t="str">
        <x:v>曲线近似值</x:v>
      </x:c>
      <x:c r="F217" s="18" t="n">
        <x:v>0.0719</x:v>
      </x:c>
      <x:c r="G217" s="18" t="n">
        <x:v>1254.067</x:v>
      </x:c>
      <x:c r="H217" s="18" t="n">
        <x:v>1284.496</x:v>
      </x:c>
      <x:c r="I217" s="2" t="str">
        <x:v>历史图表；最终状态未核验</x:v>
      </x:c>
    </x:row>
    <x:row r="218" ht="24" customHeight="1">
      <x:c r="A218" s="2" t="str">
        <x:v>2015Q1</x:v>
      </x:c>
      <x:c r="B218" s="2" t="str">
        <x:v>Utilities</x:v>
      </x:c>
      <x:c r="C218" s="2" t="str">
        <x:v>公用事业</x:v>
      </x:c>
      <x:c r="D218" s="16" t="n">
        <x:v>3.766</x:v>
      </x:c>
      <x:c r="E218" s="17" t="str">
        <x:v>曲线近似值</x:v>
      </x:c>
      <x:c r="F218" s="18" t="n">
        <x:v>0.036</x:v>
      </x:c>
      <x:c r="G218" s="18" t="n">
        <x:v>1254.067</x:v>
      </x:c>
      <x:c r="H218" s="18" t="n">
        <x:v>1916.813</x:v>
      </x:c>
      <x:c r="I218" s="2" t="str">
        <x:v>历史图表；最终状态未核验</x:v>
      </x:c>
    </x:row>
    <x:row r="219" ht="24" customHeight="1">
      <x:c r="A219" s="2" t="str">
        <x:v>2015Q2</x:v>
      </x:c>
      <x:c r="B219" s="2" t="str">
        <x:v>Communication Services</x:v>
      </x:c>
      <x:c r="C219" s="2" t="str">
        <x:v>通信服务</x:v>
      </x:c>
      <x:c r="D219" s="16" t="n">
        <x:v>3.248</x:v>
      </x:c>
      <x:c r="E219" s="17" t="str">
        <x:v>曲线近似值</x:v>
      </x:c>
      <x:c r="F219" s="18" t="n">
        <x:v>0.0862</x:v>
      </x:c>
      <x:c r="G219" s="18" t="n">
        <x:v>306.038</x:v>
      </x:c>
      <x:c r="H219" s="18" t="n">
        <x:v>624.112</x:v>
      </x:c>
      <x:c r="I219" s="2" t="str">
        <x:v>历史图表；最终状态未核验</x:v>
      </x:c>
    </x:row>
    <x:row r="220" ht="24" customHeight="1">
      <x:c r="A220" s="2" t="str">
        <x:v>2015Q2</x:v>
      </x:c>
      <x:c r="B220" s="2" t="str">
        <x:v>Consumer Discretionary</x:v>
      </x:c>
      <x:c r="C220" s="2" t="str">
        <x:v>可选消费</x:v>
      </x:c>
      <x:c r="D220" s="16" t="n">
        <x:v>7.562</x:v>
      </x:c>
      <x:c r="E220" s="17" t="str">
        <x:v>曲线近似值</x:v>
      </x:c>
      <x:c r="F220" s="18" t="n">
        <x:v>0.2154</x:v>
      </x:c>
      <x:c r="G220" s="18" t="n">
        <x:v>306.038</x:v>
      </x:c>
      <x:c r="H220" s="18" t="n">
        <x:v>958.302</x:v>
      </x:c>
      <x:c r="I220" s="2" t="str">
        <x:v>历史图表；最终状态未核验</x:v>
      </x:c>
    </x:row>
    <x:row r="221" ht="24" customHeight="1">
      <x:c r="A221" s="2" t="str">
        <x:v>2015Q2</x:v>
      </x:c>
      <x:c r="B221" s="2" t="str">
        <x:v>Consumer Staples</x:v>
      </x:c>
      <x:c r="C221" s="2" t="str">
        <x:v>必需消费</x:v>
      </x:c>
      <x:c r="D221" s="16" t="n">
        <x:v>6.997</x:v>
      </x:c>
      <x:c r="E221" s="17" t="str">
        <x:v>曲线近似值</x:v>
      </x:c>
      <x:c r="F221" s="18" t="n">
        <x:v>0.0504</x:v>
      </x:c>
      <x:c r="G221" s="18" t="n">
        <x:v>306.038</x:v>
      </x:c>
      <x:c r="H221" s="18" t="n">
        <x:v>1237.962</x:v>
      </x:c>
      <x:c r="I221" s="2" t="str">
        <x:v>历史图表；最终状态未核验</x:v>
      </x:c>
    </x:row>
    <x:row r="222" ht="24" customHeight="1">
      <x:c r="A222" s="2" t="str">
        <x:v>2015Q2</x:v>
      </x:c>
      <x:c r="B222" s="2" t="str">
        <x:v>Energy</x:v>
      </x:c>
      <x:c r="C222" s="2" t="str">
        <x:v>能源</x:v>
      </x:c>
      <x:c r="D222" s="16" t="n">
        <x:v>5.227</x:v>
      </x:c>
      <x:c r="E222" s="17" t="str">
        <x:v>曲线近似值</x:v>
      </x:c>
      <x:c r="F222" s="18" t="n">
        <x:v>0.2158</x:v>
      </x:c>
      <x:c r="G222" s="18" t="n">
        <x:v>306.038</x:v>
      </x:c>
      <x:c r="H222" s="18" t="n">
        <x:v>1591.233</x:v>
      </x:c>
      <x:c r="I222" s="2" t="str">
        <x:v>历史图表；最终状态未核验</x:v>
      </x:c>
    </x:row>
    <x:row r="223" ht="24" customHeight="1">
      <x:c r="A223" s="2" t="str">
        <x:v>2015Q2</x:v>
      </x:c>
      <x:c r="B223" s="2" t="str">
        <x:v>Financials</x:v>
      </x:c>
      <x:c r="C223" s="2" t="str">
        <x:v>金融</x:v>
      </x:c>
      <x:c r="D223" s="16" t="n">
        <x:v>6.315</x:v>
      </x:c>
      <x:c r="E223" s="17" t="str">
        <x:v>曲线近似值</x:v>
      </x:c>
      <x:c r="F223" s="18" t="n">
        <x:v>0.1007</x:v>
      </x:c>
      <x:c r="G223" s="18" t="n">
        <x:v>306.038</x:v>
      </x:c>
      <x:c r="H223" s="18" t="n">
        <x:v>1929.317</x:v>
      </x:c>
      <x:c r="I223" s="2" t="str">
        <x:v>历史图表；最终状态未核验</x:v>
      </x:c>
    </x:row>
    <x:row r="224" ht="24" customHeight="1">
      <x:c r="A224" s="2" t="str">
        <x:v>2015Q2</x:v>
      </x:c>
      <x:c r="B224" s="2" t="str">
        <x:v>Health Care</x:v>
      </x:c>
      <x:c r="C224" s="2" t="str">
        <x:v>医疗保健</x:v>
      </x:c>
      <x:c r="D224" s="16" t="n">
        <x:v>12.562</x:v>
      </x:c>
      <x:c r="E224" s="17" t="str">
        <x:v>曲线近似值</x:v>
      </x:c>
      <x:c r="F224" s="18" t="n">
        <x:v>0.173</x:v>
      </x:c>
      <x:c r="G224" s="18" t="n">
        <x:v>1266.038</x:v>
      </x:c>
      <x:c r="H224" s="18" t="n">
        <x:v>283.581</x:v>
      </x:c>
      <x:c r="I224" s="2" t="str">
        <x:v>历史图表；最终状态未核验</x:v>
      </x:c>
    </x:row>
    <x:row r="225" ht="24" customHeight="1">
      <x:c r="A225" s="2" t="str">
        <x:v>2015Q2</x:v>
      </x:c>
      <x:c r="B225" s="2" t="str">
        <x:v>Industrials</x:v>
      </x:c>
      <x:c r="C225" s="2" t="str">
        <x:v>工业</x:v>
      </x:c>
      <x:c r="D225" s="16" t="n">
        <x:v>7.604</x:v>
      </x:c>
      <x:c r="E225" s="17" t="str">
        <x:v>曲线近似值</x:v>
      </x:c>
      <x:c r="F225" s="18" t="n">
        <x:v>0.1149</x:v>
      </x:c>
      <x:c r="G225" s="18" t="n">
        <x:v>1266.038</x:v>
      </x:c>
      <x:c r="H225" s="18" t="n">
        <x:v>567.136</x:v>
      </x:c>
      <x:c r="I225" s="2" t="str">
        <x:v>历史图表；最终状态未核验</x:v>
      </x:c>
    </x:row>
    <x:row r="226" ht="24" customHeight="1">
      <x:c r="A226" s="2" t="str">
        <x:v>2015Q2</x:v>
      </x:c>
      <x:c r="B226" s="2" t="str">
        <x:v>Information Technology</x:v>
      </x:c>
      <x:c r="C226" s="2" t="str">
        <x:v>信息技术</x:v>
      </x:c>
      <x:c r="D226" s="16" t="n">
        <x:v>9.466</x:v>
      </x:c>
      <x:c r="E226" s="17" t="str">
        <x:v>曲线近似值</x:v>
      </x:c>
      <x:c r="F226" s="18" t="n">
        <x:v>0.5027</x:v>
      </x:c>
      <x:c r="G226" s="18" t="n">
        <x:v>1266.038</x:v>
      </x:c>
      <x:c r="H226" s="18" t="n">
        <x:v>990.84</x:v>
      </x:c>
      <x:c r="I226" s="2" t="str">
        <x:v>历史图表；最终状态未核验</x:v>
      </x:c>
    </x:row>
    <x:row r="227" ht="24" customHeight="1">
      <x:c r="A227" s="2" t="str">
        <x:v>2015Q2</x:v>
      </x:c>
      <x:c r="B227" s="2" t="str">
        <x:v>Materials</x:v>
      </x:c>
      <x:c r="C227" s="2" t="str">
        <x:v>材料</x:v>
      </x:c>
      <x:c r="D227" s="16" t="n">
        <x:v>5.199</x:v>
      </x:c>
      <x:c r="E227" s="17" t="str">
        <x:v>曲线近似值</x:v>
      </x:c>
      <x:c r="F227" s="18" t="n">
        <x:v>0.0719</x:v>
      </x:c>
      <x:c r="G227" s="18" t="n">
        <x:v>1266.038</x:v>
      </x:c>
      <x:c r="H227" s="18" t="n">
        <x:v>1268.065</x:v>
      </x:c>
      <x:c r="I227" s="2" t="str">
        <x:v>历史图表；最终状态未核验</x:v>
      </x:c>
    </x:row>
    <x:row r="228" ht="24" customHeight="1">
      <x:c r="A228" s="2" t="str">
        <x:v>2015Q2</x:v>
      </x:c>
      <x:c r="B228" s="2" t="str">
        <x:v>Utilities</x:v>
      </x:c>
      <x:c r="C228" s="2" t="str">
        <x:v>公用事业</x:v>
      </x:c>
      <x:c r="D228" s="16" t="n">
        <x:v>2.998</x:v>
      </x:c>
      <x:c r="E228" s="17" t="str">
        <x:v>曲线近似值</x:v>
      </x:c>
      <x:c r="F228" s="18" t="n">
        <x:v>0.036</x:v>
      </x:c>
      <x:c r="G228" s="18" t="n">
        <x:v>1266.038</x:v>
      </x:c>
      <x:c r="H228" s="18" t="n">
        <x:v>1959.524</x:v>
      </x:c>
      <x:c r="I228" s="2" t="str">
        <x:v>历史图表；最终状态未核验</x:v>
      </x:c>
    </x:row>
    <x:row r="229" ht="24" customHeight="1">
      <x:c r="A229" s="2" t="str">
        <x:v>2015Q3</x:v>
      </x:c>
      <x:c r="B229" s="2" t="str">
        <x:v>Communication Services</x:v>
      </x:c>
      <x:c r="C229" s="2" t="str">
        <x:v>通信服务</x:v>
      </x:c>
      <x:c r="D229" s="16" t="n">
        <x:v>3.188</x:v>
      </x:c>
      <x:c r="E229" s="17" t="str">
        <x:v>曲线近似值</x:v>
      </x:c>
      <x:c r="F229" s="18" t="n">
        <x:v>0.0862</x:v>
      </x:c>
      <x:c r="G229" s="18" t="n">
        <x:v>318.211</x:v>
      </x:c>
      <x:c r="H229" s="18" t="n">
        <x:v>625.511</x:v>
      </x:c>
      <x:c r="I229" s="2" t="str">
        <x:v>历史图表；最终状态未核验</x:v>
      </x:c>
    </x:row>
    <x:row r="230" ht="24" customHeight="1">
      <x:c r="A230" s="2" t="str">
        <x:v>2015Q3</x:v>
      </x:c>
      <x:c r="B230" s="2" t="str">
        <x:v>Consumer Discretionary</x:v>
      </x:c>
      <x:c r="C230" s="2" t="str">
        <x:v>可选消费</x:v>
      </x:c>
      <x:c r="D230" s="16" t="n">
        <x:v>8.273</x:v>
      </x:c>
      <x:c r="E230" s="17" t="str">
        <x:v>曲线近似值</x:v>
      </x:c>
      <x:c r="F230" s="18" t="n">
        <x:v>0.2154</x:v>
      </x:c>
      <x:c r="G230" s="18" t="n">
        <x:v>318.211</x:v>
      </x:c>
      <x:c r="H230" s="18" t="n">
        <x:v>951.703</x:v>
      </x:c>
      <x:c r="I230" s="2" t="str">
        <x:v>历史图表；最终状态未核验</x:v>
      </x:c>
    </x:row>
    <x:row r="231" ht="24" customHeight="1">
      <x:c r="A231" s="2" t="str">
        <x:v>2015Q3</x:v>
      </x:c>
      <x:c r="B231" s="2" t="str">
        <x:v>Consumer Staples</x:v>
      </x:c>
      <x:c r="C231" s="2" t="str">
        <x:v>必需消费</x:v>
      </x:c>
      <x:c r="D231" s="16" t="n">
        <x:v>7.075</x:v>
      </x:c>
      <x:c r="E231" s="17" t="str">
        <x:v>曲线近似值</x:v>
      </x:c>
      <x:c r="F231" s="18" t="n">
        <x:v>0.0504</x:v>
      </x:c>
      <x:c r="G231" s="18" t="n">
        <x:v>318.211</x:v>
      </x:c>
      <x:c r="H231" s="18" t="n">
        <x:v>1234.869</x:v>
      </x:c>
      <x:c r="I231" s="2" t="str">
        <x:v>历史图表；最终状态未核验</x:v>
      </x:c>
    </x:row>
    <x:row r="232" ht="24" customHeight="1">
      <x:c r="A232" s="2" t="str">
        <x:v>2015Q3</x:v>
      </x:c>
      <x:c r="B232" s="2" t="str">
        <x:v>Energy</x:v>
      </x:c>
      <x:c r="C232" s="2" t="str">
        <x:v>能源</x:v>
      </x:c>
      <x:c r="D232" s="16" t="n">
        <x:v>5.046</x:v>
      </x:c>
      <x:c r="E232" s="17" t="str">
        <x:v>曲线近似值</x:v>
      </x:c>
      <x:c r="F232" s="18" t="n">
        <x:v>0.2158</x:v>
      </x:c>
      <x:c r="G232" s="18" t="n">
        <x:v>318.211</x:v>
      </x:c>
      <x:c r="H232" s="18" t="n">
        <x:v>1592.904</x:v>
      </x:c>
      <x:c r="I232" s="2" t="str">
        <x:v>历史图表；最终状态未核验</x:v>
      </x:c>
    </x:row>
    <x:row r="233" ht="24" customHeight="1">
      <x:c r="A233" s="2" t="str">
        <x:v>2015Q3</x:v>
      </x:c>
      <x:c r="B233" s="2" t="str">
        <x:v>Financials</x:v>
      </x:c>
      <x:c r="C233" s="2" t="str">
        <x:v>金融</x:v>
      </x:c>
      <x:c r="D233" s="16" t="n">
        <x:v>5.974</x:v>
      </x:c>
      <x:c r="E233" s="17" t="str">
        <x:v>曲线近似值</x:v>
      </x:c>
      <x:c r="F233" s="18" t="n">
        <x:v>0.1007</x:v>
      </x:c>
      <x:c r="G233" s="18" t="n">
        <x:v>318.211</x:v>
      </x:c>
      <x:c r="H233" s="18" t="n">
        <x:v>1936.085</x:v>
      </x:c>
      <x:c r="I233" s="2" t="str">
        <x:v>历史图表；最终状态未核验</x:v>
      </x:c>
    </x:row>
    <x:row r="234" ht="24" customHeight="1">
      <x:c r="A234" s="2" t="str">
        <x:v>2015Q3</x:v>
      </x:c>
      <x:c r="B234" s="2" t="str">
        <x:v>Health Care</x:v>
      </x:c>
      <x:c r="C234" s="2" t="str">
        <x:v>医疗保健</x:v>
      </x:c>
      <x:c r="D234" s="16" t="n">
        <x:v>12.445</x:v>
      </x:c>
      <x:c r="E234" s="17" t="str">
        <x:v>曲线近似值</x:v>
      </x:c>
      <x:c r="F234" s="18" t="n">
        <x:v>0.173</x:v>
      </x:c>
      <x:c r="G234" s="18" t="n">
        <x:v>1278.211</x:v>
      </x:c>
      <x:c r="H234" s="18" t="n">
        <x:v>284.935</x:v>
      </x:c>
      <x:c r="I234" s="2" t="str">
        <x:v>历史图表；最终状态未核验</x:v>
      </x:c>
    </x:row>
    <x:row r="235" ht="24" customHeight="1">
      <x:c r="A235" s="2" t="str">
        <x:v>2015Q3</x:v>
      </x:c>
      <x:c r="B235" s="2" t="str">
        <x:v>Industrials</x:v>
      </x:c>
      <x:c r="C235" s="2" t="str">
        <x:v>工业</x:v>
      </x:c>
      <x:c r="D235" s="16" t="n">
        <x:v>7.698</x:v>
      </x:c>
      <x:c r="E235" s="17" t="str">
        <x:v>曲线近似值</x:v>
      </x:c>
      <x:c r="F235" s="18" t="n">
        <x:v>0.1149</x:v>
      </x:c>
      <x:c r="G235" s="18" t="n">
        <x:v>1278.211</x:v>
      </x:c>
      <x:c r="H235" s="18" t="n">
        <x:v>565.505</x:v>
      </x:c>
      <x:c r="I235" s="2" t="str">
        <x:v>历史图表；最终状态未核验</x:v>
      </x:c>
    </x:row>
    <x:row r="236" ht="24" customHeight="1">
      <x:c r="A236" s="2" t="str">
        <x:v>2015Q3</x:v>
      </x:c>
      <x:c r="B236" s="2" t="str">
        <x:v>Information Technology</x:v>
      </x:c>
      <x:c r="C236" s="2" t="str">
        <x:v>信息技术</x:v>
      </x:c>
      <x:c r="D236" s="16" t="n">
        <x:v>9.844</x:v>
      </x:c>
      <x:c r="E236" s="17" t="str">
        <x:v>曲线近似值</x:v>
      </x:c>
      <x:c r="F236" s="18" t="n">
        <x:v>0.5027</x:v>
      </x:c>
      <x:c r="G236" s="18" t="n">
        <x:v>1278.211</x:v>
      </x:c>
      <x:c r="H236" s="18" t="n">
        <x:v>989.336</x:v>
      </x:c>
      <x:c r="I236" s="2" t="str">
        <x:v>历史图表；最终状态未核验</x:v>
      </x:c>
    </x:row>
    <x:row r="237" ht="24" customHeight="1">
      <x:c r="A237" s="2" t="str">
        <x:v>2015Q3</x:v>
      </x:c>
      <x:c r="B237" s="2" t="str">
        <x:v>Materials</x:v>
      </x:c>
      <x:c r="C237" s="2" t="str">
        <x:v>材料</x:v>
      </x:c>
      <x:c r="D237" s="16" t="n">
        <x:v>3.53</x:v>
      </x:c>
      <x:c r="E237" s="17" t="str">
        <x:v>曲线近似值</x:v>
      </x:c>
      <x:c r="F237" s="18" t="n">
        <x:v>0.0719</x:v>
      </x:c>
      <x:c r="G237" s="18" t="n">
        <x:v>1278.211</x:v>
      </x:c>
      <x:c r="H237" s="18" t="n">
        <x:v>1314.462</x:v>
      </x:c>
      <x:c r="I237" s="2" t="str">
        <x:v>历史图表；最终状态未核验</x:v>
      </x:c>
    </x:row>
    <x:row r="238" ht="24" customHeight="1">
      <x:c r="A238" s="2" t="str">
        <x:v>2015Q3</x:v>
      </x:c>
      <x:c r="B238" s="2" t="str">
        <x:v>Utilities</x:v>
      </x:c>
      <x:c r="C238" s="2" t="str">
        <x:v>公用事业</x:v>
      </x:c>
      <x:c r="D238" s="16" t="n">
        <x:v>4.263</x:v>
      </x:c>
      <x:c r="E238" s="17" t="str">
        <x:v>曲线近似值</x:v>
      </x:c>
      <x:c r="F238" s="18" t="n">
        <x:v>0.036</x:v>
      </x:c>
      <x:c r="G238" s="18" t="n">
        <x:v>1278.211</x:v>
      </x:c>
      <x:c r="H238" s="18" t="n">
        <x:v>1889.158</x:v>
      </x:c>
      <x:c r="I238" s="2" t="str">
        <x:v>历史图表；最终状态未核验</x:v>
      </x:c>
    </x:row>
    <x:row r="239" ht="24" customHeight="1">
      <x:c r="A239" s="2" t="str">
        <x:v>2015Q4</x:v>
      </x:c>
      <x:c r="B239" s="2" t="str">
        <x:v>Communication Services</x:v>
      </x:c>
      <x:c r="C239" s="2" t="str">
        <x:v>通信服务</x:v>
      </x:c>
      <x:c r="D239" s="16" t="n">
        <x:v>2.798</x:v>
      </x:c>
      <x:c r="E239" s="17" t="str">
        <x:v>曲线近似值</x:v>
      </x:c>
      <x:c r="F239" s="18" t="n">
        <x:v>0.0862</x:v>
      </x:c>
      <x:c r="G239" s="18" t="n">
        <x:v>330.096</x:v>
      </x:c>
      <x:c r="H239" s="18" t="n">
        <x:v>634.569</x:v>
      </x:c>
      <x:c r="I239" s="2" t="str">
        <x:v>历史图表；最终状态未核验</x:v>
      </x:c>
    </x:row>
    <x:row r="240" ht="24" customHeight="1">
      <x:c r="A240" s="2" t="str">
        <x:v>2015Q4</x:v>
      </x:c>
      <x:c r="B240" s="2" t="str">
        <x:v>Consumer Discretionary</x:v>
      </x:c>
      <x:c r="C240" s="2" t="str">
        <x:v>可选消费</x:v>
      </x:c>
      <x:c r="D240" s="16" t="n">
        <x:v>8.684</x:v>
      </x:c>
      <x:c r="E240" s="17" t="str">
        <x:v>曲线近似值</x:v>
      </x:c>
      <x:c r="F240" s="18" t="n">
        <x:v>0.2154</x:v>
      </x:c>
      <x:c r="G240" s="18" t="n">
        <x:v>330.096</x:v>
      </x:c>
      <x:c r="H240" s="18" t="n">
        <x:v>947.884</x:v>
      </x:c>
      <x:c r="I240" s="2" t="str">
        <x:v>历史图表；最终状态未核验</x:v>
      </x:c>
    </x:row>
    <x:row r="241" ht="24" customHeight="1">
      <x:c r="A241" s="2" t="str">
        <x:v>2015Q4</x:v>
      </x:c>
      <x:c r="B241" s="2" t="str">
        <x:v>Consumer Staples</x:v>
      </x:c>
      <x:c r="C241" s="2" t="str">
        <x:v>必需消费</x:v>
      </x:c>
      <x:c r="D241" s="16" t="n">
        <x:v>7.065</x:v>
      </x:c>
      <x:c r="E241" s="17" t="str">
        <x:v>曲线近似值</x:v>
      </x:c>
      <x:c r="F241" s="18" t="n">
        <x:v>0.0504</x:v>
      </x:c>
      <x:c r="G241" s="18" t="n">
        <x:v>330.096</x:v>
      </x:c>
      <x:c r="H241" s="18" t="n">
        <x:v>1235.273</x:v>
      </x:c>
      <x:c r="I241" s="2" t="str">
        <x:v>历史图表；最终状态未核验</x:v>
      </x:c>
    </x:row>
    <x:row r="242" ht="24" customHeight="1">
      <x:c r="A242" s="2" t="str">
        <x:v>2015Q4</x:v>
      </x:c>
      <x:c r="B242" s="2" t="str">
        <x:v>Energy</x:v>
      </x:c>
      <x:c r="C242" s="2" t="str">
        <x:v>能源</x:v>
      </x:c>
      <x:c r="D242" s="16" t="n">
        <x:v>2.271</x:v>
      </x:c>
      <x:c r="E242" s="17" t="str">
        <x:v>曲线近似值</x:v>
      </x:c>
      <x:c r="F242" s="18" t="n">
        <x:v>0.2158</x:v>
      </x:c>
      <x:c r="G242" s="18" t="n">
        <x:v>330.096</x:v>
      </x:c>
      <x:c r="H242" s="18" t="n">
        <x:v>1618.626</x:v>
      </x:c>
      <x:c r="I242" s="2" t="str">
        <x:v>历史图表；最终状态未核验</x:v>
      </x:c>
    </x:row>
    <x:row r="243" ht="24" customHeight="1">
      <x:c r="A243" s="2" t="str">
        <x:v>2015Q4</x:v>
      </x:c>
      <x:c r="B243" s="2" t="str">
        <x:v>Financials</x:v>
      </x:c>
      <x:c r="C243" s="2" t="str">
        <x:v>金融</x:v>
      </x:c>
      <x:c r="D243" s="16" t="n">
        <x:v>5.531</x:v>
      </x:c>
      <x:c r="E243" s="17" t="str">
        <x:v>曲线近似值</x:v>
      </x:c>
      <x:c r="F243" s="18" t="n">
        <x:v>0.1007</x:v>
      </x:c>
      <x:c r="G243" s="18" t="n">
        <x:v>330.096</x:v>
      </x:c>
      <x:c r="H243" s="18" t="n">
        <x:v>1944.881</x:v>
      </x:c>
      <x:c r="I243" s="2" t="str">
        <x:v>历史图表；最终状态未核验</x:v>
      </x:c>
    </x:row>
    <x:row r="244" ht="24" customHeight="1">
      <x:c r="A244" s="2" t="str">
        <x:v>2015Q4</x:v>
      </x:c>
      <x:c r="B244" s="2" t="str">
        <x:v>Health Care</x:v>
      </x:c>
      <x:c r="C244" s="2" t="str">
        <x:v>医疗保健</x:v>
      </x:c>
      <x:c r="D244" s="16" t="n">
        <x:v>12.11</x:v>
      </x:c>
      <x:c r="E244" s="17" t="str">
        <x:v>曲线近似值</x:v>
      </x:c>
      <x:c r="F244" s="18" t="n">
        <x:v>0.173</x:v>
      </x:c>
      <x:c r="G244" s="18" t="n">
        <x:v>1290.096</x:v>
      </x:c>
      <x:c r="H244" s="18" t="n">
        <x:v>288.803</x:v>
      </x:c>
      <x:c r="I244" s="2" t="str">
        <x:v>历史图表；最终状态未核验</x:v>
      </x:c>
    </x:row>
    <x:row r="245" ht="24" customHeight="1">
      <x:c r="A245" s="2" t="str">
        <x:v>2015Q4</x:v>
      </x:c>
      <x:c r="B245" s="2" t="str">
        <x:v>Industrials</x:v>
      </x:c>
      <x:c r="C245" s="2" t="str">
        <x:v>工业</x:v>
      </x:c>
      <x:c r="D245" s="16" t="n">
        <x:v>7.462</x:v>
      </x:c>
      <x:c r="E245" s="17" t="str">
        <x:v>曲线近似值</x:v>
      </x:c>
      <x:c r="F245" s="18" t="n">
        <x:v>0.1149</x:v>
      </x:c>
      <x:c r="G245" s="18" t="n">
        <x:v>1290.096</x:v>
      </x:c>
      <x:c r="H245" s="18" t="n">
        <x:v>569.622</x:v>
      </x:c>
      <x:c r="I245" s="2" t="str">
        <x:v>历史图表；最终状态未核验</x:v>
      </x:c>
    </x:row>
    <x:row r="246" ht="24" customHeight="1">
      <x:c r="A246" s="2" t="str">
        <x:v>2015Q4</x:v>
      </x:c>
      <x:c r="B246" s="2" t="str">
        <x:v>Information Technology</x:v>
      </x:c>
      <x:c r="C246" s="2" t="str">
        <x:v>信息技术</x:v>
      </x:c>
      <x:c r="D246" s="16" t="n">
        <x:v>12.709</x:v>
      </x:c>
      <x:c r="E246" s="17" t="str">
        <x:v>曲线近似值</x:v>
      </x:c>
      <x:c r="F246" s="18" t="n">
        <x:v>0.5027</x:v>
      </x:c>
      <x:c r="G246" s="18" t="n">
        <x:v>1290.096</x:v>
      </x:c>
      <x:c r="H246" s="18" t="n">
        <x:v>977.938</x:v>
      </x:c>
      <x:c r="I246" s="2" t="str">
        <x:v>历史图表；最终状态未核验</x:v>
      </x:c>
    </x:row>
    <x:row r="247" ht="24" customHeight="1">
      <x:c r="A247" s="2" t="str">
        <x:v>2015Q4</x:v>
      </x:c>
      <x:c r="B247" s="2" t="str">
        <x:v>Materials</x:v>
      </x:c>
      <x:c r="C247" s="2" t="str">
        <x:v>材料</x:v>
      </x:c>
      <x:c r="D247" s="16" t="n">
        <x:v>3.344</x:v>
      </x:c>
      <x:c r="E247" s="17" t="str">
        <x:v>曲线近似值</x:v>
      </x:c>
      <x:c r="F247" s="18" t="n">
        <x:v>0.0719</x:v>
      </x:c>
      <x:c r="G247" s="18" t="n">
        <x:v>1290.096</x:v>
      </x:c>
      <x:c r="H247" s="18" t="n">
        <x:v>1319.639</x:v>
      </x:c>
      <x:c r="I247" s="2" t="str">
        <x:v>历史图表；最终状态未核验</x:v>
      </x:c>
    </x:row>
    <x:row r="248" ht="24" customHeight="1">
      <x:c r="A248" s="2" t="str">
        <x:v>2015Q4</x:v>
      </x:c>
      <x:c r="B248" s="2" t="str">
        <x:v>Utilities</x:v>
      </x:c>
      <x:c r="C248" s="2" t="str">
        <x:v>公用事业</x:v>
      </x:c>
      <x:c r="D248" s="16" t="n">
        <x:v>2.642</x:v>
      </x:c>
      <x:c r="E248" s="17" t="str">
        <x:v>曲线近似值</x:v>
      </x:c>
      <x:c r="F248" s="18" t="n">
        <x:v>0.036</x:v>
      </x:c>
      <x:c r="G248" s="18" t="n">
        <x:v>1290.096</x:v>
      </x:c>
      <x:c r="H248" s="18" t="n">
        <x:v>1979.29</x:v>
      </x:c>
      <x:c r="I248" s="2" t="str">
        <x:v>历史图表；最终状态未核验</x:v>
      </x:c>
    </x:row>
    <x:row r="249" ht="24" customHeight="1">
      <x:c r="A249" s="2" t="str">
        <x:v>2016Q1</x:v>
      </x:c>
      <x:c r="B249" s="2" t="str">
        <x:v>Communication Services</x:v>
      </x:c>
      <x:c r="C249" s="2" t="str">
        <x:v>通信服务</x:v>
      </x:c>
      <x:c r="D249" s="16" t="n">
        <x:v>3.189</x:v>
      </x:c>
      <x:c r="E249" s="17" t="str">
        <x:v>曲线近似值</x:v>
      </x:c>
      <x:c r="F249" s="18" t="n">
        <x:v>0.0862</x:v>
      </x:c>
      <x:c r="G249" s="18" t="n">
        <x:v>342.053</x:v>
      </x:c>
      <x:c r="H249" s="18" t="n">
        <x:v>625.497</x:v>
      </x:c>
      <x:c r="I249" s="2" t="str">
        <x:v>历史图表；最终状态未核验</x:v>
      </x:c>
    </x:row>
    <x:row r="250" ht="24" customHeight="1">
      <x:c r="A250" s="2" t="str">
        <x:v>2016Q1</x:v>
      </x:c>
      <x:c r="B250" s="2" t="str">
        <x:v>Consumer Discretionary</x:v>
      </x:c>
      <x:c r="C250" s="2" t="str">
        <x:v>可选消费</x:v>
      </x:c>
      <x:c r="D250" s="16" t="n">
        <x:v>7.579</x:v>
      </x:c>
      <x:c r="E250" s="17" t="str">
        <x:v>曲线近似值</x:v>
      </x:c>
      <x:c r="F250" s="18" t="n">
        <x:v>0.2154</x:v>
      </x:c>
      <x:c r="G250" s="18" t="n">
        <x:v>342.053</x:v>
      </x:c>
      <x:c r="H250" s="18" t="n">
        <x:v>958.143</x:v>
      </x:c>
      <x:c r="I250" s="2" t="str">
        <x:v>历史图表；最终状态未核验</x:v>
      </x:c>
    </x:row>
    <x:row r="251" ht="24" customHeight="1">
      <x:c r="A251" s="2" t="str">
        <x:v>2016Q1</x:v>
      </x:c>
      <x:c r="B251" s="2" t="str">
        <x:v>Consumer Staples</x:v>
      </x:c>
      <x:c r="C251" s="2" t="str">
        <x:v>必需消费</x:v>
      </x:c>
      <x:c r="D251" s="16" t="n">
        <x:v>5.763</x:v>
      </x:c>
      <x:c r="E251" s="17" t="str">
        <x:v>曲线近似值</x:v>
      </x:c>
      <x:c r="F251" s="18" t="n">
        <x:v>0.0504</x:v>
      </x:c>
      <x:c r="G251" s="18" t="n">
        <x:v>342.053</x:v>
      </x:c>
      <x:c r="H251" s="18" t="n">
        <x:v>1286.981</x:v>
      </x:c>
      <x:c r="I251" s="2" t="str">
        <x:v>历史图表；最终状态未核验</x:v>
      </x:c>
    </x:row>
    <x:row r="252" ht="24" customHeight="1">
      <x:c r="A252" s="2" t="str">
        <x:v>2016Q1</x:v>
      </x:c>
      <x:c r="B252" s="2" t="str">
        <x:v>Energy</x:v>
      </x:c>
      <x:c r="C252" s="2" t="str">
        <x:v>能源</x:v>
      </x:c>
      <x:c r="D252" s="16" t="n">
        <x:v>-0.244</x:v>
      </x:c>
      <x:c r="E252" s="17" t="str">
        <x:v>曲线近似值</x:v>
      </x:c>
      <x:c r="F252" s="18" t="n">
        <x:v>0.2158</x:v>
      </x:c>
      <x:c r="G252" s="18" t="n">
        <x:v>342.053</x:v>
      </x:c>
      <x:c r="H252" s="18" t="n">
        <x:v>1641.929</x:v>
      </x:c>
      <x:c r="I252" s="2" t="str">
        <x:v>历史图表；最终状态未核验</x:v>
      </x:c>
    </x:row>
    <x:row r="253" ht="24" customHeight="1">
      <x:c r="A253" s="2" t="str">
        <x:v>2016Q1</x:v>
      </x:c>
      <x:c r="B253" s="2" t="str">
        <x:v>Financials</x:v>
      </x:c>
      <x:c r="C253" s="2" t="str">
        <x:v>金融</x:v>
      </x:c>
      <x:c r="D253" s="16" t="n">
        <x:v>5.198</x:v>
      </x:c>
      <x:c r="E253" s="17" t="str">
        <x:v>曲线近似值</x:v>
      </x:c>
      <x:c r="F253" s="18" t="n">
        <x:v>0.1007</x:v>
      </x:c>
      <x:c r="G253" s="18" t="n">
        <x:v>342.053</x:v>
      </x:c>
      <x:c r="H253" s="18" t="n">
        <x:v>1951.488</x:v>
      </x:c>
      <x:c r="I253" s="2" t="str">
        <x:v>历史图表；最终状态未核验</x:v>
      </x:c>
    </x:row>
    <x:row r="254" ht="24" customHeight="1">
      <x:c r="A254" s="2" t="str">
        <x:v>2016Q1</x:v>
      </x:c>
      <x:c r="B254" s="2" t="str">
        <x:v>Health Care</x:v>
      </x:c>
      <x:c r="C254" s="2" t="str">
        <x:v>医疗保健</x:v>
      </x:c>
      <x:c r="D254" s="16" t="n">
        <x:v>12.455</x:v>
      </x:c>
      <x:c r="E254" s="17" t="str">
        <x:v>曲线近似值</x:v>
      </x:c>
      <x:c r="F254" s="18" t="n">
        <x:v>0.173</x:v>
      </x:c>
      <x:c r="G254" s="18" t="n">
        <x:v>1302.053</x:v>
      </x:c>
      <x:c r="H254" s="18" t="n">
        <x:v>284.824</x:v>
      </x:c>
      <x:c r="I254" s="2" t="str">
        <x:v>历史图表；最终状态未核验</x:v>
      </x:c>
    </x:row>
    <x:row r="255" ht="24" customHeight="1">
      <x:c r="A255" s="2" t="str">
        <x:v>2016Q1</x:v>
      </x:c>
      <x:c r="B255" s="2" t="str">
        <x:v>Industrials</x:v>
      </x:c>
      <x:c r="C255" s="2" t="str">
        <x:v>工业</x:v>
      </x:c>
      <x:c r="D255" s="16" t="n">
        <x:v>6.193</x:v>
      </x:c>
      <x:c r="E255" s="17" t="str">
        <x:v>曲线近似值</x:v>
      </x:c>
      <x:c r="F255" s="18" t="n">
        <x:v>0.1149</x:v>
      </x:c>
      <x:c r="G255" s="18" t="n">
        <x:v>1302.053</x:v>
      </x:c>
      <x:c r="H255" s="18" t="n">
        <x:v>591.708</x:v>
      </x:c>
      <x:c r="I255" s="2" t="str">
        <x:v>历史图表；最终状态未核验</x:v>
      </x:c>
    </x:row>
    <x:row r="256" ht="24" customHeight="1">
      <x:c r="A256" s="2" t="str">
        <x:v>2016Q1</x:v>
      </x:c>
      <x:c r="B256" s="2" t="str">
        <x:v>Information Technology</x:v>
      </x:c>
      <x:c r="C256" s="2" t="str">
        <x:v>信息技术</x:v>
      </x:c>
      <x:c r="D256" s="16" t="n">
        <x:v>9.539</x:v>
      </x:c>
      <x:c r="E256" s="17" t="str">
        <x:v>曲线近似值</x:v>
      </x:c>
      <x:c r="F256" s="18" t="n">
        <x:v>0.5027</x:v>
      </x:c>
      <x:c r="G256" s="18" t="n">
        <x:v>1302.053</x:v>
      </x:c>
      <x:c r="H256" s="18" t="n">
        <x:v>990.547</x:v>
      </x:c>
      <x:c r="I256" s="2" t="str">
        <x:v>历史图表；最终状态未核验</x:v>
      </x:c>
    </x:row>
    <x:row r="257" ht="24" customHeight="1">
      <x:c r="A257" s="2" t="str">
        <x:v>2016Q1</x:v>
      </x:c>
      <x:c r="B257" s="2" t="str">
        <x:v>Materials</x:v>
      </x:c>
      <x:c r="C257" s="2" t="str">
        <x:v>材料</x:v>
      </x:c>
      <x:c r="D257" s="16" t="n">
        <x:v>3.872</x:v>
      </x:c>
      <x:c r="E257" s="17" t="str">
        <x:v>曲线近似值</x:v>
      </x:c>
      <x:c r="F257" s="18" t="n">
        <x:v>0.0719</x:v>
      </x:c>
      <x:c r="G257" s="18" t="n">
        <x:v>1302.053</x:v>
      </x:c>
      <x:c r="H257" s="18" t="n">
        <x:v>1304.963</x:v>
      </x:c>
      <x:c r="I257" s="2" t="str">
        <x:v>历史图表；最终状态未核验</x:v>
      </x:c>
    </x:row>
    <x:row r="258" ht="24" customHeight="1">
      <x:c r="A258" s="2" t="str">
        <x:v>2016Q1</x:v>
      </x:c>
      <x:c r="B258" s="2" t="str">
        <x:v>Utilities</x:v>
      </x:c>
      <x:c r="C258" s="2" t="str">
        <x:v>公用事业</x:v>
      </x:c>
      <x:c r="D258" s="16" t="n">
        <x:v>3.639</x:v>
      </x:c>
      <x:c r="E258" s="17" t="str">
        <x:v>曲线近似值</x:v>
      </x:c>
      <x:c r="F258" s="18" t="n">
        <x:v>0.036</x:v>
      </x:c>
      <x:c r="G258" s="18" t="n">
        <x:v>1302.053</x:v>
      </x:c>
      <x:c r="H258" s="18" t="n">
        <x:v>1923.898</x:v>
      </x:c>
      <x:c r="I258" s="2" t="str">
        <x:v>历史图表；最终状态未核验</x:v>
      </x:c>
    </x:row>
    <x:row r="259" ht="24" customHeight="1">
      <x:c r="A259" s="2" t="str">
        <x:v>2016Q2</x:v>
      </x:c>
      <x:c r="B259" s="2" t="str">
        <x:v>Communication Services</x:v>
      </x:c>
      <x:c r="C259" s="2" t="str">
        <x:v>通信服务</x:v>
      </x:c>
      <x:c r="D259" s="16" t="n">
        <x:v>3.017</x:v>
      </x:c>
      <x:c r="E259" s="17" t="str">
        <x:v>曲线近似值</x:v>
      </x:c>
      <x:c r="F259" s="18" t="n">
        <x:v>0.0862</x:v>
      </x:c>
      <x:c r="G259" s="18" t="n">
        <x:v>354.283</x:v>
      </x:c>
      <x:c r="H259" s="18" t="n">
        <x:v>629.478</x:v>
      </x:c>
      <x:c r="I259" s="2" t="str">
        <x:v>历史图表；最终状态未核验</x:v>
      </x:c>
    </x:row>
    <x:row r="260" ht="24" customHeight="1">
      <x:c r="A260" s="2" t="str">
        <x:v>2016Q2</x:v>
      </x:c>
      <x:c r="B260" s="2" t="str">
        <x:v>Consumer Discretionary</x:v>
      </x:c>
      <x:c r="C260" s="2" t="str">
        <x:v>可选消费</x:v>
      </x:c>
      <x:c r="D260" s="16" t="n">
        <x:v>8.414</x:v>
      </x:c>
      <x:c r="E260" s="17" t="str">
        <x:v>曲线近似值</x:v>
      </x:c>
      <x:c r="F260" s="18" t="n">
        <x:v>0.2154</x:v>
      </x:c>
      <x:c r="G260" s="18" t="n">
        <x:v>354.283</x:v>
      </x:c>
      <x:c r="H260" s="18" t="n">
        <x:v>950.394</x:v>
      </x:c>
      <x:c r="I260" s="2" t="str">
        <x:v>历史图表；最终状态未核验</x:v>
      </x:c>
    </x:row>
    <x:row r="261" ht="24" customHeight="1">
      <x:c r="A261" s="2" t="str">
        <x:v>2016Q2</x:v>
      </x:c>
      <x:c r="B261" s="2" t="str">
        <x:v>Consumer Staples</x:v>
      </x:c>
      <x:c r="C261" s="2" t="str">
        <x:v>必需消费</x:v>
      </x:c>
      <x:c r="D261" s="16" t="n">
        <x:v>6.35</x:v>
      </x:c>
      <x:c r="E261" s="17" t="str">
        <x:v>曲线近似值</x:v>
      </x:c>
      <x:c r="F261" s="18" t="n">
        <x:v>0.0504</x:v>
      </x:c>
      <x:c r="G261" s="18" t="n">
        <x:v>354.283</x:v>
      </x:c>
      <x:c r="H261" s="18" t="n">
        <x:v>1263.689</x:v>
      </x:c>
      <x:c r="I261" s="2" t="str">
        <x:v>历史图表；最终状态未核验</x:v>
      </x:c>
    </x:row>
    <x:row r="262" ht="24" customHeight="1">
      <x:c r="A262" s="2" t="str">
        <x:v>2016Q2</x:v>
      </x:c>
      <x:c r="B262" s="2" t="str">
        <x:v>Energy</x:v>
      </x:c>
      <x:c r="C262" s="2" t="str">
        <x:v>能源</x:v>
      </x:c>
      <x:c r="D262" s="16" t="n">
        <x:v>0.748</x:v>
      </x:c>
      <x:c r="E262" s="17" t="str">
        <x:v>曲线近似值</x:v>
      </x:c>
      <x:c r="F262" s="18" t="n">
        <x:v>0.2158</x:v>
      </x:c>
      <x:c r="G262" s="18" t="n">
        <x:v>354.283</x:v>
      </x:c>
      <x:c r="H262" s="18" t="n">
        <x:v>1632.737</x:v>
      </x:c>
      <x:c r="I262" s="2" t="str">
        <x:v>历史图表；最终状态未核验</x:v>
      </x:c>
    </x:row>
    <x:row r="263" ht="24" customHeight="1">
      <x:c r="A263" s="2" t="str">
        <x:v>2016Q2</x:v>
      </x:c>
      <x:c r="B263" s="2" t="str">
        <x:v>Financials</x:v>
      </x:c>
      <x:c r="C263" s="2" t="str">
        <x:v>金融</x:v>
      </x:c>
      <x:c r="D263" s="16" t="n">
        <x:v>5.671</x:v>
      </x:c>
      <x:c r="E263" s="17" t="str">
        <x:v>曲线近似值</x:v>
      </x:c>
      <x:c r="F263" s="18" t="n">
        <x:v>0.1007</x:v>
      </x:c>
      <x:c r="G263" s="18" t="n">
        <x:v>354.283</x:v>
      </x:c>
      <x:c r="H263" s="18" t="n">
        <x:v>1942.111</x:v>
      </x:c>
      <x:c r="I263" s="2" t="str">
        <x:v>历史图表；最终状态未核验</x:v>
      </x:c>
    </x:row>
    <x:row r="264" ht="24" customHeight="1">
      <x:c r="A264" s="2" t="str">
        <x:v>2016Q2</x:v>
      </x:c>
      <x:c r="B264" s="2" t="str">
        <x:v>Health Care</x:v>
      </x:c>
      <x:c r="C264" s="2" t="str">
        <x:v>医疗保健</x:v>
      </x:c>
      <x:c r="D264" s="16" t="n">
        <x:v>13.347</x:v>
      </x:c>
      <x:c r="E264" s="17" t="str">
        <x:v>曲线近似值</x:v>
      </x:c>
      <x:c r="F264" s="18" t="n">
        <x:v>0.173</x:v>
      </x:c>
      <x:c r="G264" s="18" t="n">
        <x:v>1314.283</x:v>
      </x:c>
      <x:c r="H264" s="18" t="n">
        <x:v>274.504</x:v>
      </x:c>
      <x:c r="I264" s="2" t="str">
        <x:v>历史图表；最终状态未核验</x:v>
      </x:c>
    </x:row>
    <x:row r="265" ht="24" customHeight="1">
      <x:c r="A265" s="2" t="str">
        <x:v>2016Q2</x:v>
      </x:c>
      <x:c r="B265" s="2" t="str">
        <x:v>Industrials</x:v>
      </x:c>
      <x:c r="C265" s="2" t="str">
        <x:v>工业</x:v>
      </x:c>
      <x:c r="D265" s="16" t="n">
        <x:v>7.34</x:v>
      </x:c>
      <x:c r="E265" s="17" t="str">
        <x:v>曲线近似值</x:v>
      </x:c>
      <x:c r="F265" s="18" t="n">
        <x:v>0.1149</x:v>
      </x:c>
      <x:c r="G265" s="18" t="n">
        <x:v>1314.283</x:v>
      </x:c>
      <x:c r="H265" s="18" t="n">
        <x:v>571.735</x:v>
      </x:c>
      <x:c r="I265" s="2" t="str">
        <x:v>历史图表；最终状态未核验</x:v>
      </x:c>
    </x:row>
    <x:row r="266" ht="24" customHeight="1">
      <x:c r="A266" s="2" t="str">
        <x:v>2016Q2</x:v>
      </x:c>
      <x:c r="B266" s="2" t="str">
        <x:v>Information Technology</x:v>
      </x:c>
      <x:c r="C266" s="2" t="str">
        <x:v>信息技术</x:v>
      </x:c>
      <x:c r="D266" s="16" t="n">
        <x:v>9.799</x:v>
      </x:c>
      <x:c r="E266" s="17" t="str">
        <x:v>曲线近似值</x:v>
      </x:c>
      <x:c r="F266" s="18" t="n">
        <x:v>0.5027</x:v>
      </x:c>
      <x:c r="G266" s="18" t="n">
        <x:v>1314.283</x:v>
      </x:c>
      <x:c r="H266" s="18" t="n">
        <x:v>989.515</x:v>
      </x:c>
      <x:c r="I266" s="2" t="str">
        <x:v>历史图表；最终状态未核验</x:v>
      </x:c>
    </x:row>
    <x:row r="267" ht="24" customHeight="1">
      <x:c r="A267" s="2" t="str">
        <x:v>2016Q2</x:v>
      </x:c>
      <x:c r="B267" s="2" t="str">
        <x:v>Materials</x:v>
      </x:c>
      <x:c r="C267" s="2" t="str">
        <x:v>材料</x:v>
      </x:c>
      <x:c r="D267" s="16" t="n">
        <x:v>4.783</x:v>
      </x:c>
      <x:c r="E267" s="17" t="str">
        <x:v>曲线近似值</x:v>
      </x:c>
      <x:c r="F267" s="18" t="n">
        <x:v>0.0719</x:v>
      </x:c>
      <x:c r="G267" s="18" t="n">
        <x:v>1314.283</x:v>
      </x:c>
      <x:c r="H267" s="18" t="n">
        <x:v>1279.631</x:v>
      </x:c>
      <x:c r="I267" s="2" t="str">
        <x:v>历史图表；最终状态未核验</x:v>
      </x:c>
    </x:row>
    <x:row r="268" ht="24" customHeight="1">
      <x:c r="A268" s="2" t="str">
        <x:v>2016Q2</x:v>
      </x:c>
      <x:c r="B268" s="2" t="str">
        <x:v>Utilities</x:v>
      </x:c>
      <x:c r="C268" s="2" t="str">
        <x:v>公用事业</x:v>
      </x:c>
      <x:c r="D268" s="16" t="n">
        <x:v>3.17</x:v>
      </x:c>
      <x:c r="E268" s="17" t="str">
        <x:v>曲线近似值</x:v>
      </x:c>
      <x:c r="F268" s="18" t="n">
        <x:v>0.036</x:v>
      </x:c>
      <x:c r="G268" s="18" t="n">
        <x:v>1314.283</x:v>
      </x:c>
      <x:c r="H268" s="18" t="n">
        <x:v>1949.943</x:v>
      </x:c>
      <x:c r="I268" s="2" t="str">
        <x:v>历史图表；最终状态未核验</x:v>
      </x:c>
    </x:row>
    <x:row r="269" ht="24" customHeight="1">
      <x:c r="A269" s="2" t="str">
        <x:v>2016Q3</x:v>
      </x:c>
      <x:c r="B269" s="2" t="str">
        <x:v>Communication Services</x:v>
      </x:c>
      <x:c r="C269" s="2" t="str">
        <x:v>通信服务</x:v>
      </x:c>
      <x:c r="D269" s="16" t="n">
        <x:v>3.08</x:v>
      </x:c>
      <x:c r="E269" s="17" t="str">
        <x:v>曲线近似值</x:v>
      </x:c>
      <x:c r="F269" s="18" t="n">
        <x:v>0.0862</x:v>
      </x:c>
      <x:c r="G269" s="18" t="n">
        <x:v>366.077</x:v>
      </x:c>
      <x:c r="H269" s="18" t="n">
        <x:v>628.01</x:v>
      </x:c>
      <x:c r="I269" s="2" t="str">
        <x:v>历史图表；最终状态未核验</x:v>
      </x:c>
    </x:row>
    <x:row r="270" ht="24" customHeight="1">
      <x:c r="A270" s="2" t="str">
        <x:v>2016Q3</x:v>
      </x:c>
      <x:c r="B270" s="2" t="str">
        <x:v>Consumer Discretionary</x:v>
      </x:c>
      <x:c r="C270" s="2" t="str">
        <x:v>可选消费</x:v>
      </x:c>
      <x:c r="D270" s="16" t="n">
        <x:v>8.258</x:v>
      </x:c>
      <x:c r="E270" s="17" t="str">
        <x:v>曲线近似值</x:v>
      </x:c>
      <x:c r="F270" s="18" t="n">
        <x:v>0.2154</x:v>
      </x:c>
      <x:c r="G270" s="18" t="n">
        <x:v>366.077</x:v>
      </x:c>
      <x:c r="H270" s="18" t="n">
        <x:v>951.841</x:v>
      </x:c>
      <x:c r="I270" s="2" t="str">
        <x:v>历史图表；最终状态未核验</x:v>
      </x:c>
    </x:row>
    <x:row r="271" ht="24" customHeight="1">
      <x:c r="A271" s="2" t="str">
        <x:v>2016Q3</x:v>
      </x:c>
      <x:c r="B271" s="2" t="str">
        <x:v>Consumer Staples</x:v>
      </x:c>
      <x:c r="C271" s="2" t="str">
        <x:v>必需消费</x:v>
      </x:c>
      <x:c r="D271" s="16" t="n">
        <x:v>6.841</x:v>
      </x:c>
      <x:c r="E271" s="17" t="str">
        <x:v>曲线近似值</x:v>
      </x:c>
      <x:c r="F271" s="18" t="n">
        <x:v>0.0504</x:v>
      </x:c>
      <x:c r="G271" s="18" t="n">
        <x:v>366.077</x:v>
      </x:c>
      <x:c r="H271" s="18" t="n">
        <x:v>1244.173</x:v>
      </x:c>
      <x:c r="I271" s="2" t="str">
        <x:v>历史图表；最终状态未核验</x:v>
      </x:c>
    </x:row>
    <x:row r="272" ht="24" customHeight="1">
      <x:c r="A272" s="2" t="str">
        <x:v>2016Q3</x:v>
      </x:c>
      <x:c r="B272" s="2" t="str">
        <x:v>Energy</x:v>
      </x:c>
      <x:c r="C272" s="2" t="str">
        <x:v>能源</x:v>
      </x:c>
      <x:c r="D272" s="16" t="n">
        <x:v>1.564</x:v>
      </x:c>
      <x:c r="E272" s="17" t="str">
        <x:v>曲线近似值</x:v>
      </x:c>
      <x:c r="F272" s="18" t="n">
        <x:v>0.2158</x:v>
      </x:c>
      <x:c r="G272" s="18" t="n">
        <x:v>366.077</x:v>
      </x:c>
      <x:c r="H272" s="18" t="n">
        <x:v>1625.171</x:v>
      </x:c>
      <x:c r="I272" s="2" t="str">
        <x:v>历史图表；最终状态未核验</x:v>
      </x:c>
    </x:row>
    <x:row r="273" ht="24" customHeight="1">
      <x:c r="A273" s="2" t="str">
        <x:v>2016Q3</x:v>
      </x:c>
      <x:c r="B273" s="2" t="str">
        <x:v>Financials</x:v>
      </x:c>
      <x:c r="C273" s="2" t="str">
        <x:v>金融</x:v>
      </x:c>
      <x:c r="D273" s="16" t="n">
        <x:v>6.505</x:v>
      </x:c>
      <x:c r="E273" s="17" t="str">
        <x:v>曲线近似值</x:v>
      </x:c>
      <x:c r="F273" s="18" t="n">
        <x:v>0.1007</x:v>
      </x:c>
      <x:c r="G273" s="18" t="n">
        <x:v>366.077</x:v>
      </x:c>
      <x:c r="H273" s="18" t="n">
        <x:v>1925.535</x:v>
      </x:c>
      <x:c r="I273" s="2" t="str">
        <x:v>历史图表；最终状态未核验</x:v>
      </x:c>
    </x:row>
    <x:row r="274" ht="24" customHeight="1">
      <x:c r="A274" s="2" t="str">
        <x:v>2016Q3</x:v>
      </x:c>
      <x:c r="B274" s="2" t="str">
        <x:v>Health Care</x:v>
      </x:c>
      <x:c r="C274" s="2" t="str">
        <x:v>医疗保健</x:v>
      </x:c>
      <x:c r="D274" s="16" t="n">
        <x:v>13.003</x:v>
      </x:c>
      <x:c r="E274" s="17" t="str">
        <x:v>曲线近似值</x:v>
      </x:c>
      <x:c r="F274" s="18" t="n">
        <x:v>0.173</x:v>
      </x:c>
      <x:c r="G274" s="18" t="n">
        <x:v>1326.077</x:v>
      </x:c>
      <x:c r="H274" s="18" t="n">
        <x:v>278.49</x:v>
      </x:c>
      <x:c r="I274" s="2" t="str">
        <x:v>历史图表；最终状态未核验</x:v>
      </x:c>
    </x:row>
    <x:row r="275" ht="24" customHeight="1">
      <x:c r="A275" s="2" t="str">
        <x:v>2016Q3</x:v>
      </x:c>
      <x:c r="B275" s="2" t="str">
        <x:v>Industrials</x:v>
      </x:c>
      <x:c r="C275" s="2" t="str">
        <x:v>工业</x:v>
      </x:c>
      <x:c r="D275" s="16" t="n">
        <x:v>7.985</x:v>
      </x:c>
      <x:c r="E275" s="17" t="str">
        <x:v>曲线近似值</x:v>
      </x:c>
      <x:c r="F275" s="18" t="n">
        <x:v>0.1149</x:v>
      </x:c>
      <x:c r="G275" s="18" t="n">
        <x:v>1326.077</x:v>
      </x:c>
      <x:c r="H275" s="18" t="n">
        <x:v>560.512</x:v>
      </x:c>
      <x:c r="I275" s="2" t="str">
        <x:v>历史图表；最终状态未核验</x:v>
      </x:c>
    </x:row>
    <x:row r="276" ht="24" customHeight="1">
      <x:c r="A276" s="2" t="str">
        <x:v>2016Q3</x:v>
      </x:c>
      <x:c r="B276" s="2" t="str">
        <x:v>Information Technology</x:v>
      </x:c>
      <x:c r="C276" s="2" t="str">
        <x:v>信息技术</x:v>
      </x:c>
      <x:c r="D276" s="16" t="n">
        <x:v>11.136</x:v>
      </x:c>
      <x:c r="E276" s="17" t="str">
        <x:v>曲线近似值</x:v>
      </x:c>
      <x:c r="F276" s="18" t="n">
        <x:v>0.5027</x:v>
      </x:c>
      <x:c r="G276" s="18" t="n">
        <x:v>1326.077</x:v>
      </x:c>
      <x:c r="H276" s="18" t="n">
        <x:v>984.195</x:v>
      </x:c>
      <x:c r="I276" s="2" t="str">
        <x:v>历史图表；最终状态未核验</x:v>
      </x:c>
    </x:row>
    <x:row r="277" ht="24" customHeight="1">
      <x:c r="A277" s="2" t="str">
        <x:v>2016Q3</x:v>
      </x:c>
      <x:c r="B277" s="2" t="str">
        <x:v>Materials</x:v>
      </x:c>
      <x:c r="C277" s="2" t="str">
        <x:v>材料</x:v>
      </x:c>
      <x:c r="D277" s="16" t="n">
        <x:v>3.671</x:v>
      </x:c>
      <x:c r="E277" s="17" t="str">
        <x:v>曲线近似值</x:v>
      </x:c>
      <x:c r="F277" s="18" t="n">
        <x:v>0.0719</x:v>
      </x:c>
      <x:c r="G277" s="18" t="n">
        <x:v>1326.077</x:v>
      </x:c>
      <x:c r="H277" s="18" t="n">
        <x:v>1310.542</x:v>
      </x:c>
      <x:c r="I277" s="2" t="str">
        <x:v>历史图表；最终状态未核验</x:v>
      </x:c>
    </x:row>
    <x:row r="278" ht="24" customHeight="1">
      <x:c r="A278" s="2" t="str">
        <x:v>2016Q3</x:v>
      </x:c>
      <x:c r="B278" s="2" t="str">
        <x:v>Real Estate</x:v>
      </x:c>
      <x:c r="C278" s="2" t="str">
        <x:v>房地产</x:v>
      </x:c>
      <x:c r="D278" s="16" t="n">
        <x:v>2.281</x:v>
      </x:c>
      <x:c r="E278" s="17" t="str">
        <x:v>曲线近似值</x:v>
      </x:c>
      <x:c r="F278" s="18" t="n">
        <x:v>0.0115</x:v>
      </x:c>
      <x:c r="G278" s="18" t="n">
        <x:v>1326.077</x:v>
      </x:c>
      <x:c r="H278" s="18" t="n">
        <x:v>1637.232</x:v>
      </x:c>
      <x:c r="I278" s="2" t="str">
        <x:v>历史图表；最终状态未核验</x:v>
      </x:c>
    </x:row>
    <x:row r="279" ht="24" customHeight="1">
      <x:c r="A279" s="2" t="str">
        <x:v>2016Q3</x:v>
      </x:c>
      <x:c r="B279" s="2" t="str">
        <x:v>Utilities</x:v>
      </x:c>
      <x:c r="C279" s="2" t="str">
        <x:v>公用事业</x:v>
      </x:c>
      <x:c r="D279" s="16" t="n">
        <x:v>4.836</x:v>
      </x:c>
      <x:c r="E279" s="17" t="str">
        <x:v>曲线近似值</x:v>
      </x:c>
      <x:c r="F279" s="18" t="n">
        <x:v>0.036</x:v>
      </x:c>
      <x:c r="G279" s="18" t="n">
        <x:v>1326.077</x:v>
      </x:c>
      <x:c r="H279" s="18" t="n">
        <x:v>1857.34</x:v>
      </x:c>
      <x:c r="I279" s="2" t="str">
        <x:v>历史图表；最终状态未核验</x:v>
      </x:c>
    </x:row>
    <x:row r="280" ht="24" customHeight="1">
      <x:c r="A280" s="2" t="str">
        <x:v>2016Q4</x:v>
      </x:c>
      <x:c r="B280" s="2" t="str">
        <x:v>Communication Services</x:v>
      </x:c>
      <x:c r="C280" s="2" t="str">
        <x:v>通信服务</x:v>
      </x:c>
      <x:c r="D280" s="16" t="n">
        <x:v>2.792</x:v>
      </x:c>
      <x:c r="E280" s="17" t="str">
        <x:v>曲线近似值</x:v>
      </x:c>
      <x:c r="F280" s="18" t="n">
        <x:v>0.0862</x:v>
      </x:c>
      <x:c r="G280" s="18" t="n">
        <x:v>378.093</x:v>
      </x:c>
      <x:c r="H280" s="18" t="n">
        <x:v>634.699</x:v>
      </x:c>
      <x:c r="I280" s="2" t="str">
        <x:v>历史图表；最终状态未核验</x:v>
      </x:c>
    </x:row>
    <x:row r="281" ht="24" customHeight="1">
      <x:c r="A281" s="2" t="str">
        <x:v>2016Q4</x:v>
      </x:c>
      <x:c r="B281" s="2" t="str">
        <x:v>Consumer Discretionary</x:v>
      </x:c>
      <x:c r="C281" s="2" t="str">
        <x:v>可选消费</x:v>
      </x:c>
      <x:c r="D281" s="16" t="n">
        <x:v>8.133</x:v>
      </x:c>
      <x:c r="E281" s="17" t="str">
        <x:v>曲线近似值</x:v>
      </x:c>
      <x:c r="F281" s="18" t="n">
        <x:v>0.2154</x:v>
      </x:c>
      <x:c r="G281" s="18" t="n">
        <x:v>378.093</x:v>
      </x:c>
      <x:c r="H281" s="18" t="n">
        <x:v>953</x:v>
      </x:c>
      <x:c r="I281" s="2" t="str">
        <x:v>历史图表；最终状态未核验</x:v>
      </x:c>
    </x:row>
    <x:row r="282" ht="24" customHeight="1">
      <x:c r="A282" s="2" t="str">
        <x:v>2016Q4</x:v>
      </x:c>
      <x:c r="B282" s="2" t="str">
        <x:v>Consumer Staples</x:v>
      </x:c>
      <x:c r="C282" s="2" t="str">
        <x:v>必需消费</x:v>
      </x:c>
      <x:c r="D282" s="16" t="n">
        <x:v>6.571</x:v>
      </x:c>
      <x:c r="E282" s="17" t="str">
        <x:v>曲线近似值</x:v>
      </x:c>
      <x:c r="F282" s="18" t="n">
        <x:v>0.0504</x:v>
      </x:c>
      <x:c r="G282" s="18" t="n">
        <x:v>378.093</x:v>
      </x:c>
      <x:c r="H282" s="18" t="n">
        <x:v>1254.905</x:v>
      </x:c>
      <x:c r="I282" s="2" t="str">
        <x:v>历史图表；最终状态未核验</x:v>
      </x:c>
    </x:row>
    <x:row r="283" ht="24" customHeight="1">
      <x:c r="A283" s="2" t="str">
        <x:v>2016Q4</x:v>
      </x:c>
      <x:c r="B283" s="2" t="str">
        <x:v>Energy</x:v>
      </x:c>
      <x:c r="C283" s="2" t="str">
        <x:v>能源</x:v>
      </x:c>
      <x:c r="D283" s="16" t="n">
        <x:v>2.008</x:v>
      </x:c>
      <x:c r="E283" s="17" t="str">
        <x:v>曲线近似值</x:v>
      </x:c>
      <x:c r="F283" s="18" t="n">
        <x:v>0.2158</x:v>
      </x:c>
      <x:c r="G283" s="18" t="n">
        <x:v>378.093</x:v>
      </x:c>
      <x:c r="H283" s="18" t="n">
        <x:v>1621.057</x:v>
      </x:c>
      <x:c r="I283" s="2" t="str">
        <x:v>历史图表；最终状态未核验</x:v>
      </x:c>
    </x:row>
    <x:row r="284" ht="24" customHeight="1">
      <x:c r="A284" s="2" t="str">
        <x:v>2016Q4</x:v>
      </x:c>
      <x:c r="B284" s="2" t="str">
        <x:v>Financials</x:v>
      </x:c>
      <x:c r="C284" s="2" t="str">
        <x:v>金融</x:v>
      </x:c>
      <x:c r="D284" s="16" t="n">
        <x:v>6.116</x:v>
      </x:c>
      <x:c r="E284" s="17" t="str">
        <x:v>曲线近似值</x:v>
      </x:c>
      <x:c r="F284" s="18" t="n">
        <x:v>0.1007</x:v>
      </x:c>
      <x:c r="G284" s="18" t="n">
        <x:v>378.093</x:v>
      </x:c>
      <x:c r="H284" s="18" t="n">
        <x:v>1933.271</x:v>
      </x:c>
      <x:c r="I284" s="2" t="str">
        <x:v>历史图表；最终状态未核验</x:v>
      </x:c>
    </x:row>
    <x:row r="285" ht="24" customHeight="1">
      <x:c r="A285" s="2" t="str">
        <x:v>2016Q4</x:v>
      </x:c>
      <x:c r="B285" s="2" t="str">
        <x:v>Health Care</x:v>
      </x:c>
      <x:c r="C285" s="2" t="str">
        <x:v>医疗保健</x:v>
      </x:c>
      <x:c r="D285" s="16" t="n">
        <x:v>12.444</x:v>
      </x:c>
      <x:c r="E285" s="17" t="str">
        <x:v>曲线近似值</x:v>
      </x:c>
      <x:c r="F285" s="18" t="n">
        <x:v>0.173</x:v>
      </x:c>
      <x:c r="G285" s="18" t="n">
        <x:v>1338.093</x:v>
      </x:c>
      <x:c r="H285" s="18" t="n">
        <x:v>284.944</x:v>
      </x:c>
      <x:c r="I285" s="2" t="str">
        <x:v>历史图表；最终状态未核验</x:v>
      </x:c>
    </x:row>
    <x:row r="286" ht="24" customHeight="1">
      <x:c r="A286" s="2" t="str">
        <x:v>2016Q4</x:v>
      </x:c>
      <x:c r="B286" s="2" t="str">
        <x:v>Industrials</x:v>
      </x:c>
      <x:c r="C286" s="2" t="str">
        <x:v>工业</x:v>
      </x:c>
      <x:c r="D286" s="16" t="n">
        <x:v>7.089</x:v>
      </x:c>
      <x:c r="E286" s="17" t="str">
        <x:v>曲线近似值</x:v>
      </x:c>
      <x:c r="F286" s="18" t="n">
        <x:v>0.1149</x:v>
      </x:c>
      <x:c r="G286" s="18" t="n">
        <x:v>1338.093</x:v>
      </x:c>
      <x:c r="H286" s="18" t="n">
        <x:v>576.1</x:v>
      </x:c>
      <x:c r="I286" s="2" t="str">
        <x:v>历史图表；最终状态未核验</x:v>
      </x:c>
    </x:row>
    <x:row r="287" ht="24" customHeight="1">
      <x:c r="A287" s="2" t="str">
        <x:v>2016Q4</x:v>
      </x:c>
      <x:c r="B287" s="2" t="str">
        <x:v>Information Technology</x:v>
      </x:c>
      <x:c r="C287" s="2" t="str">
        <x:v>信息技术</x:v>
      </x:c>
      <x:c r="D287" s="16" t="n">
        <x:v>13.717</x:v>
      </x:c>
      <x:c r="E287" s="17" t="str">
        <x:v>曲线近似值</x:v>
      </x:c>
      <x:c r="F287" s="18" t="n">
        <x:v>0.5027</x:v>
      </x:c>
      <x:c r="G287" s="18" t="n">
        <x:v>1338.093</x:v>
      </x:c>
      <x:c r="H287" s="18" t="n">
        <x:v>973.928</x:v>
      </x:c>
      <x:c r="I287" s="2" t="str">
        <x:v>历史图表；最终状态未核验</x:v>
      </x:c>
    </x:row>
    <x:row r="288" ht="24" customHeight="1">
      <x:c r="A288" s="2" t="str">
        <x:v>2016Q4</x:v>
      </x:c>
      <x:c r="B288" s="2" t="str">
        <x:v>Materials</x:v>
      </x:c>
      <x:c r="C288" s="2" t="str">
        <x:v>材料</x:v>
      </x:c>
      <x:c r="D288" s="16" t="n">
        <x:v>3.396</x:v>
      </x:c>
      <x:c r="E288" s="17" t="str">
        <x:v>曲线近似值</x:v>
      </x:c>
      <x:c r="F288" s="18" t="n">
        <x:v>0.0719</x:v>
      </x:c>
      <x:c r="G288" s="18" t="n">
        <x:v>1338.093</x:v>
      </x:c>
      <x:c r="H288" s="18" t="n">
        <x:v>1318.198</x:v>
      </x:c>
      <x:c r="I288" s="2" t="str">
        <x:v>历史图表；最终状态未核验</x:v>
      </x:c>
    </x:row>
    <x:row r="289" ht="24" customHeight="1">
      <x:c r="A289" s="2" t="str">
        <x:v>2016Q4</x:v>
      </x:c>
      <x:c r="B289" s="2" t="str">
        <x:v>Real Estate</x:v>
      </x:c>
      <x:c r="C289" s="2" t="str">
        <x:v>房地产</x:v>
      </x:c>
      <x:c r="D289" s="16" t="n">
        <x:v>2.555</x:v>
      </x:c>
      <x:c r="E289" s="17" t="str">
        <x:v>曲线近似值</x:v>
      </x:c>
      <x:c r="F289" s="18" t="n">
        <x:v>0.0115</x:v>
      </x:c>
      <x:c r="G289" s="18" t="n">
        <x:v>1338.093</x:v>
      </x:c>
      <x:c r="H289" s="18" t="n">
        <x:v>1589.575</x:v>
      </x:c>
      <x:c r="I289" s="2" t="str">
        <x:v>历史图表；最终状态未核验</x:v>
      </x:c>
    </x:row>
    <x:row r="290" ht="24" customHeight="1">
      <x:c r="A290" s="2" t="str">
        <x:v>2016Q4</x:v>
      </x:c>
      <x:c r="B290" s="2" t="str">
        <x:v>Utilities</x:v>
      </x:c>
      <x:c r="C290" s="2" t="str">
        <x:v>公用事业</x:v>
      </x:c>
      <x:c r="D290" s="16" t="n">
        <x:v>2.808</x:v>
      </x:c>
      <x:c r="E290" s="17" t="str">
        <x:v>曲线近似值</x:v>
      </x:c>
      <x:c r="F290" s="18" t="n">
        <x:v>0.036</x:v>
      </x:c>
      <x:c r="G290" s="18" t="n">
        <x:v>1338.093</x:v>
      </x:c>
      <x:c r="H290" s="18" t="n">
        <x:v>1970.095</x:v>
      </x:c>
      <x:c r="I290" s="2" t="str">
        <x:v>历史图表；最终状态未核验</x:v>
      </x:c>
    </x:row>
    <x:row r="291" ht="24" customHeight="1">
      <x:c r="A291" s="2" t="str">
        <x:v>2017Q1</x:v>
      </x:c>
      <x:c r="B291" s="2" t="str">
        <x:v>Communication Services</x:v>
      </x:c>
      <x:c r="C291" s="2" t="str">
        <x:v>通信服务</x:v>
      </x:c>
      <x:c r="D291" s="16" t="n">
        <x:v>3.023</x:v>
      </x:c>
      <x:c r="E291" s="17" t="str">
        <x:v>曲线近似值</x:v>
      </x:c>
      <x:c r="F291" s="18" t="n">
        <x:v>0.0862</x:v>
      </x:c>
      <x:c r="G291" s="18" t="n">
        <x:v>388.676</x:v>
      </x:c>
      <x:c r="H291" s="18" t="n">
        <x:v>629.345</x:v>
      </x:c>
      <x:c r="I291" s="2" t="str">
        <x:v>历史图表；最终状态未核验</x:v>
      </x:c>
    </x:row>
    <x:row r="292" ht="24" customHeight="1">
      <x:c r="A292" s="2" t="str">
        <x:v>2017Q1</x:v>
      </x:c>
      <x:c r="B292" s="2" t="str">
        <x:v>Consumer Discretionary</x:v>
      </x:c>
      <x:c r="C292" s="2" t="str">
        <x:v>可选消费</x:v>
      </x:c>
      <x:c r="D292" s="16" t="n">
        <x:v>7.979</x:v>
      </x:c>
      <x:c r="E292" s="17" t="str">
        <x:v>曲线近似值</x:v>
      </x:c>
      <x:c r="F292" s="18" t="n">
        <x:v>0.2154</x:v>
      </x:c>
      <x:c r="G292" s="18" t="n">
        <x:v>388.676</x:v>
      </x:c>
      <x:c r="H292" s="18" t="n">
        <x:v>954.429</x:v>
      </x:c>
      <x:c r="I292" s="2" t="str">
        <x:v>历史图表；最终状态未核验</x:v>
      </x:c>
    </x:row>
    <x:row r="293" ht="24" customHeight="1">
      <x:c r="A293" s="2" t="str">
        <x:v>2017Q1</x:v>
      </x:c>
      <x:c r="B293" s="2" t="str">
        <x:v>Consumer Staples</x:v>
      </x:c>
      <x:c r="C293" s="2" t="str">
        <x:v>必需消费</x:v>
      </x:c>
      <x:c r="D293" s="16" t="n">
        <x:v>6.024</x:v>
      </x:c>
      <x:c r="E293" s="17" t="str">
        <x:v>曲线近似值</x:v>
      </x:c>
      <x:c r="F293" s="18" t="n">
        <x:v>0.0504</x:v>
      </x:c>
      <x:c r="G293" s="18" t="n">
        <x:v>388.676</x:v>
      </x:c>
      <x:c r="H293" s="18" t="n">
        <x:v>1276.638</x:v>
      </x:c>
      <x:c r="I293" s="2" t="str">
        <x:v>历史图表；最终状态未核验</x:v>
      </x:c>
    </x:row>
    <x:row r="294" ht="24" customHeight="1">
      <x:c r="A294" s="2" t="str">
        <x:v>2017Q1</x:v>
      </x:c>
      <x:c r="B294" s="2" t="str">
        <x:v>Energy</x:v>
      </x:c>
      <x:c r="C294" s="2" t="str">
        <x:v>能源</x:v>
      </x:c>
      <x:c r="D294" s="16" t="n">
        <x:v>3.097</x:v>
      </x:c>
      <x:c r="E294" s="17" t="str">
        <x:v>曲线近似值</x:v>
      </x:c>
      <x:c r="F294" s="18" t="n">
        <x:v>0.2158</x:v>
      </x:c>
      <x:c r="G294" s="18" t="n">
        <x:v>388.676</x:v>
      </x:c>
      <x:c r="H294" s="18" t="n">
        <x:v>1610.963</x:v>
      </x:c>
      <x:c r="I294" s="2" t="str">
        <x:v>历史图表；最终状态未核验</x:v>
      </x:c>
    </x:row>
    <x:row r="295" ht="24" customHeight="1">
      <x:c r="A295" s="2" t="str">
        <x:v>2017Q1</x:v>
      </x:c>
      <x:c r="B295" s="2" t="str">
        <x:v>Financials</x:v>
      </x:c>
      <x:c r="C295" s="2" t="str">
        <x:v>金融</x:v>
      </x:c>
      <x:c r="D295" s="16" t="n">
        <x:v>6.702</x:v>
      </x:c>
      <x:c r="E295" s="17" t="str">
        <x:v>曲线近似值</x:v>
      </x:c>
      <x:c r="F295" s="18" t="n">
        <x:v>0.1007</x:v>
      </x:c>
      <x:c r="G295" s="18" t="n">
        <x:v>388.676</x:v>
      </x:c>
      <x:c r="H295" s="18" t="n">
        <x:v>1921.63</x:v>
      </x:c>
      <x:c r="I295" s="2" t="str">
        <x:v>历史图表；最终状态未核验</x:v>
      </x:c>
    </x:row>
    <x:row r="296" ht="24" customHeight="1">
      <x:c r="A296" s="2" t="str">
        <x:v>2017Q1</x:v>
      </x:c>
      <x:c r="B296" s="2" t="str">
        <x:v>Health Care</x:v>
      </x:c>
      <x:c r="C296" s="2" t="str">
        <x:v>医疗保健</x:v>
      </x:c>
      <x:c r="D296" s="16" t="n">
        <x:v>13.263</x:v>
      </x:c>
      <x:c r="E296" s="17" t="str">
        <x:v>曲线近似值</x:v>
      </x:c>
      <x:c r="F296" s="18" t="n">
        <x:v>0.173</x:v>
      </x:c>
      <x:c r="G296" s="18" t="n">
        <x:v>1348.676</x:v>
      </x:c>
      <x:c r="H296" s="18" t="n">
        <x:v>275.475</x:v>
      </x:c>
      <x:c r="I296" s="2" t="str">
        <x:v>历史图表；最终状态未核验</x:v>
      </x:c>
    </x:row>
    <x:row r="297" ht="24" customHeight="1">
      <x:c r="A297" s="2" t="str">
        <x:v>2017Q1</x:v>
      </x:c>
      <x:c r="B297" s="2" t="str">
        <x:v>Industrials</x:v>
      </x:c>
      <x:c r="C297" s="2" t="str">
        <x:v>工业</x:v>
      </x:c>
      <x:c r="D297" s="16" t="n">
        <x:v>6.277</x:v>
      </x:c>
      <x:c r="E297" s="17" t="str">
        <x:v>曲线近似值</x:v>
      </x:c>
      <x:c r="F297" s="18" t="n">
        <x:v>0.1149</x:v>
      </x:c>
      <x:c r="G297" s="18" t="n">
        <x:v>1348.676</x:v>
      </x:c>
      <x:c r="H297" s="18" t="n">
        <x:v>590.246</x:v>
      </x:c>
      <x:c r="I297" s="2" t="str">
        <x:v>历史图表；最终状态未核验</x:v>
      </x:c>
    </x:row>
    <x:row r="298" ht="24" customHeight="1">
      <x:c r="A298" s="2" t="str">
        <x:v>2017Q1</x:v>
      </x:c>
      <x:c r="B298" s="2" t="str">
        <x:v>Information Technology</x:v>
      </x:c>
      <x:c r="C298" s="2" t="str">
        <x:v>信息技术</x:v>
      </x:c>
      <x:c r="D298" s="16" t="n">
        <x:v>11.472</x:v>
      </x:c>
      <x:c r="E298" s="17" t="str">
        <x:v>曲线近似值</x:v>
      </x:c>
      <x:c r="F298" s="18" t="n">
        <x:v>0.5027</x:v>
      </x:c>
      <x:c r="G298" s="18" t="n">
        <x:v>1348.676</x:v>
      </x:c>
      <x:c r="H298" s="18" t="n">
        <x:v>982.857</x:v>
      </x:c>
      <x:c r="I298" s="2" t="str">
        <x:v>历史图表；最终状态未核验</x:v>
      </x:c>
    </x:row>
    <x:row r="299" ht="24" customHeight="1">
      <x:c r="A299" s="2" t="str">
        <x:v>2017Q1</x:v>
      </x:c>
      <x:c r="B299" s="2" t="str">
        <x:v>Materials</x:v>
      </x:c>
      <x:c r="C299" s="2" t="str">
        <x:v>材料</x:v>
      </x:c>
      <x:c r="D299" s="16" t="n">
        <x:v>4.746</x:v>
      </x:c>
      <x:c r="E299" s="17" t="str">
        <x:v>曲线近似值</x:v>
      </x:c>
      <x:c r="F299" s="18" t="n">
        <x:v>0.0719</x:v>
      </x:c>
      <x:c r="G299" s="18" t="n">
        <x:v>1348.676</x:v>
      </x:c>
      <x:c r="H299" s="18" t="n">
        <x:v>1280.651</x:v>
      </x:c>
      <x:c r="I299" s="2" t="str">
        <x:v>历史图表；最终状态未核验</x:v>
      </x:c>
    </x:row>
    <x:row r="300" ht="24" customHeight="1">
      <x:c r="A300" s="2" t="str">
        <x:v>2017Q1</x:v>
      </x:c>
      <x:c r="B300" s="2" t="str">
        <x:v>Real Estate</x:v>
      </x:c>
      <x:c r="C300" s="2" t="str">
        <x:v>房地产</x:v>
      </x:c>
      <x:c r="D300" s="16" t="n">
        <x:v>2.233</x:v>
      </x:c>
      <x:c r="E300" s="17" t="str">
        <x:v>曲线近似值</x:v>
      </x:c>
      <x:c r="F300" s="18" t="n">
        <x:v>0.0115</x:v>
      </x:c>
      <x:c r="G300" s="18" t="n">
        <x:v>1348.676</x:v>
      </x:c>
      <x:c r="H300" s="18" t="n">
        <x:v>1645.584</x:v>
      </x:c>
      <x:c r="I300" s="2" t="str">
        <x:v>历史图表；最终状态未核验</x:v>
      </x:c>
    </x:row>
    <x:row r="301" ht="24" customHeight="1">
      <x:c r="A301" s="2" t="str">
        <x:v>2017Q1</x:v>
      </x:c>
      <x:c r="B301" s="2" t="str">
        <x:v>Utilities</x:v>
      </x:c>
      <x:c r="C301" s="2" t="str">
        <x:v>公用事业</x:v>
      </x:c>
      <x:c r="D301" s="16" t="n">
        <x:v>3.698</x:v>
      </x:c>
      <x:c r="E301" s="17" t="str">
        <x:v>曲线近似值</x:v>
      </x:c>
      <x:c r="F301" s="18" t="n">
        <x:v>0.036</x:v>
      </x:c>
      <x:c r="G301" s="18" t="n">
        <x:v>1348.676</x:v>
      </x:c>
      <x:c r="H301" s="18" t="n">
        <x:v>1920.577</x:v>
      </x:c>
      <x:c r="I301" s="2" t="str">
        <x:v>历史图表；最终状态未核验</x:v>
      </x:c>
    </x:row>
    <x:row r="302" ht="24" customHeight="1">
      <x:c r="A302" s="2" t="str">
        <x:v>2017Q2</x:v>
      </x:c>
      <x:c r="B302" s="2" t="str">
        <x:v>Communication Services</x:v>
      </x:c>
      <x:c r="C302" s="2" t="str">
        <x:v>通信服务</x:v>
      </x:c>
      <x:c r="D302" s="16" t="n">
        <x:v>3.197</x:v>
      </x:c>
      <x:c r="E302" s="17" t="str">
        <x:v>曲线近似值</x:v>
      </x:c>
      <x:c r="F302" s="18" t="n">
        <x:v>0.0862</x:v>
      </x:c>
      <x:c r="G302" s="18" t="n">
        <x:v>400.621</x:v>
      </x:c>
      <x:c r="H302" s="18" t="n">
        <x:v>625.298</x:v>
      </x:c>
      <x:c r="I302" s="2" t="str">
        <x:v>历史图表；最终状态未核验</x:v>
      </x:c>
    </x:row>
    <x:row r="303" ht="24" customHeight="1">
      <x:c r="A303" s="2" t="str">
        <x:v>2017Q2</x:v>
      </x:c>
      <x:c r="B303" s="2" t="str">
        <x:v>Consumer Discretionary</x:v>
      </x:c>
      <x:c r="C303" s="2" t="str">
        <x:v>可选消费</x:v>
      </x:c>
      <x:c r="D303" s="16" t="n">
        <x:v>8.722</x:v>
      </x:c>
      <x:c r="E303" s="17" t="str">
        <x:v>曲线近似值</x:v>
      </x:c>
      <x:c r="F303" s="18" t="n">
        <x:v>0.2154</x:v>
      </x:c>
      <x:c r="G303" s="18" t="n">
        <x:v>400.621</x:v>
      </x:c>
      <x:c r="H303" s="18" t="n">
        <x:v>947.526</x:v>
      </x:c>
      <x:c r="I303" s="2" t="str">
        <x:v>历史图表；最终状态未核验</x:v>
      </x:c>
    </x:row>
    <x:row r="304" ht="24" customHeight="1">
      <x:c r="A304" s="2" t="str">
        <x:v>2017Q2</x:v>
      </x:c>
      <x:c r="B304" s="2" t="str">
        <x:v>Consumer Staples</x:v>
      </x:c>
      <x:c r="C304" s="2" t="str">
        <x:v>必需消费</x:v>
      </x:c>
      <x:c r="D304" s="16" t="n">
        <x:v>6.541</x:v>
      </x:c>
      <x:c r="E304" s="17" t="str">
        <x:v>曲线近似值</x:v>
      </x:c>
      <x:c r="F304" s="18" t="n">
        <x:v>0.0504</x:v>
      </x:c>
      <x:c r="G304" s="18" t="n">
        <x:v>400.621</x:v>
      </x:c>
      <x:c r="H304" s="18" t="n">
        <x:v>1256.076</x:v>
      </x:c>
      <x:c r="I304" s="2" t="str">
        <x:v>历史图表；最终状态未核验</x:v>
      </x:c>
    </x:row>
    <x:row r="305" ht="24" customHeight="1">
      <x:c r="A305" s="2" t="str">
        <x:v>2017Q2</x:v>
      </x:c>
      <x:c r="B305" s="2" t="str">
        <x:v>Energy</x:v>
      </x:c>
      <x:c r="C305" s="2" t="str">
        <x:v>能源</x:v>
      </x:c>
      <x:c r="D305" s="16" t="n">
        <x:v>2.974</x:v>
      </x:c>
      <x:c r="E305" s="17" t="str">
        <x:v>曲线近似值</x:v>
      </x:c>
      <x:c r="F305" s="18" t="n">
        <x:v>0.2158</x:v>
      </x:c>
      <x:c r="G305" s="18" t="n">
        <x:v>400.621</x:v>
      </x:c>
      <x:c r="H305" s="18" t="n">
        <x:v>1612.111</x:v>
      </x:c>
      <x:c r="I305" s="2" t="str">
        <x:v>历史图表；最终状态未核验</x:v>
      </x:c>
    </x:row>
    <x:row r="306" ht="24" customHeight="1">
      <x:c r="A306" s="2" t="str">
        <x:v>2017Q2</x:v>
      </x:c>
      <x:c r="B306" s="2" t="str">
        <x:v>Financials</x:v>
      </x:c>
      <x:c r="C306" s="2" t="str">
        <x:v>金融</x:v>
      </x:c>
      <x:c r="D306" s="16" t="n">
        <x:v>6.903</x:v>
      </x:c>
      <x:c r="E306" s="17" t="str">
        <x:v>曲线近似值</x:v>
      </x:c>
      <x:c r="F306" s="18" t="n">
        <x:v>0.1007</x:v>
      </x:c>
      <x:c r="G306" s="18" t="n">
        <x:v>400.621</x:v>
      </x:c>
      <x:c r="H306" s="18" t="n">
        <x:v>1917.642</x:v>
      </x:c>
      <x:c r="I306" s="2" t="str">
        <x:v>历史图表；最终状态未核验</x:v>
      </x:c>
    </x:row>
    <x:row r="307" ht="24" customHeight="1">
      <x:c r="A307" s="2" t="str">
        <x:v>2017Q2</x:v>
      </x:c>
      <x:c r="B307" s="2" t="str">
        <x:v>Health Care</x:v>
      </x:c>
      <x:c r="C307" s="2" t="str">
        <x:v>医疗保健</x:v>
      </x:c>
      <x:c r="D307" s="16" t="n">
        <x:v>14.015</x:v>
      </x:c>
      <x:c r="E307" s="17" t="str">
        <x:v>曲线近似值</x:v>
      </x:c>
      <x:c r="F307" s="18" t="n">
        <x:v>0.173</x:v>
      </x:c>
      <x:c r="G307" s="18" t="n">
        <x:v>1360.621</x:v>
      </x:c>
      <x:c r="H307" s="18" t="n">
        <x:v>266.789</x:v>
      </x:c>
      <x:c r="I307" s="2" t="str">
        <x:v>历史图表；最终状态未核验</x:v>
      </x:c>
    </x:row>
    <x:row r="308" ht="24" customHeight="1">
      <x:c r="A308" s="2" t="str">
        <x:v>2017Q2</x:v>
      </x:c>
      <x:c r="B308" s="2" t="str">
        <x:v>Industrials</x:v>
      </x:c>
      <x:c r="C308" s="2" t="str">
        <x:v>工业</x:v>
      </x:c>
      <x:c r="D308" s="16" t="n">
        <x:v>7.989</x:v>
      </x:c>
      <x:c r="E308" s="17" t="str">
        <x:v>曲线近似值</x:v>
      </x:c>
      <x:c r="F308" s="18" t="n">
        <x:v>0.1149</x:v>
      </x:c>
      <x:c r="G308" s="18" t="n">
        <x:v>1360.621</x:v>
      </x:c>
      <x:c r="H308" s="18" t="n">
        <x:v>560.439</x:v>
      </x:c>
      <x:c r="I308" s="2" t="str">
        <x:v>历史图表；最终状态未核验</x:v>
      </x:c>
    </x:row>
    <x:row r="309" ht="24" customHeight="1">
      <x:c r="A309" s="2" t="str">
        <x:v>2017Q2</x:v>
      </x:c>
      <x:c r="B309" s="2" t="str">
        <x:v>Information Technology</x:v>
      </x:c>
      <x:c r="C309" s="2" t="str">
        <x:v>信息技术</x:v>
      </x:c>
      <x:c r="D309" s="16" t="n">
        <x:v>11.769</x:v>
      </x:c>
      <x:c r="E309" s="17" t="str">
        <x:v>曲线近似值</x:v>
      </x:c>
      <x:c r="F309" s="18" t="n">
        <x:v>0.5027</x:v>
      </x:c>
      <x:c r="G309" s="18" t="n">
        <x:v>1360.621</x:v>
      </x:c>
      <x:c r="H309" s="18" t="n">
        <x:v>981.677</x:v>
      </x:c>
      <x:c r="I309" s="2" t="str">
        <x:v>历史图表；最终状态未核验</x:v>
      </x:c>
    </x:row>
    <x:row r="310" ht="24" customHeight="1">
      <x:c r="A310" s="2" t="str">
        <x:v>2017Q2</x:v>
      </x:c>
      <x:c r="B310" s="2" t="str">
        <x:v>Materials</x:v>
      </x:c>
      <x:c r="C310" s="2" t="str">
        <x:v>材料</x:v>
      </x:c>
      <x:c r="D310" s="16" t="n">
        <x:v>3.666</x:v>
      </x:c>
      <x:c r="E310" s="17" t="str">
        <x:v>曲线近似值</x:v>
      </x:c>
      <x:c r="F310" s="18" t="n">
        <x:v>0.0719</x:v>
      </x:c>
      <x:c r="G310" s="18" t="n">
        <x:v>1360.621</x:v>
      </x:c>
      <x:c r="H310" s="18" t="n">
        <x:v>1310.692</x:v>
      </x:c>
      <x:c r="I310" s="2" t="str">
        <x:v>历史图表；最终状态未核验</x:v>
      </x:c>
    </x:row>
    <x:row r="311" ht="24" customHeight="1">
      <x:c r="A311" s="2" t="str">
        <x:v>2017Q2</x:v>
      </x:c>
      <x:c r="B311" s="2" t="str">
        <x:v>Real Estate</x:v>
      </x:c>
      <x:c r="C311" s="2" t="str">
        <x:v>房地产</x:v>
      </x:c>
      <x:c r="D311" s="16" t="n">
        <x:v>2.44</x:v>
      </x:c>
      <x:c r="E311" s="17" t="str">
        <x:v>曲线近似值</x:v>
      </x:c>
      <x:c r="F311" s="18" t="n">
        <x:v>0.0115</x:v>
      </x:c>
      <x:c r="G311" s="18" t="n">
        <x:v>1360.621</x:v>
      </x:c>
      <x:c r="H311" s="18" t="n">
        <x:v>1609.494</x:v>
      </x:c>
      <x:c r="I311" s="2" t="str">
        <x:v>历史图表；最终状态未核验</x:v>
      </x:c>
    </x:row>
    <x:row r="312" ht="24" customHeight="1">
      <x:c r="A312" s="2" t="str">
        <x:v>2017Q2</x:v>
      </x:c>
      <x:c r="B312" s="2" t="str">
        <x:v>Utilities</x:v>
      </x:c>
      <x:c r="C312" s="2" t="str">
        <x:v>公用事业</x:v>
      </x:c>
      <x:c r="D312" s="16" t="n">
        <x:v>3.755</x:v>
      </x:c>
      <x:c r="E312" s="17" t="str">
        <x:v>曲线近似值</x:v>
      </x:c>
      <x:c r="F312" s="18" t="n">
        <x:v>0.036</x:v>
      </x:c>
      <x:c r="G312" s="18" t="n">
        <x:v>1360.621</x:v>
      </x:c>
      <x:c r="H312" s="18" t="n">
        <x:v>1917.42</x:v>
      </x:c>
      <x:c r="I312" s="2" t="str">
        <x:v>历史图表；最终状态未核验</x:v>
      </x:c>
    </x:row>
    <x:row r="313" ht="24" customHeight="1">
      <x:c r="A313" s="2" t="str">
        <x:v>2017Q3</x:v>
      </x:c>
      <x:c r="B313" s="2" t="str">
        <x:v>Communication Services</x:v>
      </x:c>
      <x:c r="C313" s="2" t="str">
        <x:v>通信服务</x:v>
      </x:c>
      <x:c r="D313" s="16" t="n">
        <x:v>3.076</x:v>
      </x:c>
      <x:c r="E313" s="17" t="str">
        <x:v>曲线近似值</x:v>
      </x:c>
      <x:c r="F313" s="18" t="n">
        <x:v>0.0862</x:v>
      </x:c>
      <x:c r="G313" s="18" t="n">
        <x:v>412.529</x:v>
      </x:c>
      <x:c r="H313" s="18" t="n">
        <x:v>628.121</x:v>
      </x:c>
      <x:c r="I313" s="2" t="str">
        <x:v>历史图表；最终状态未核验</x:v>
      </x:c>
    </x:row>
    <x:row r="314" ht="24" customHeight="1">
      <x:c r="A314" s="2" t="str">
        <x:v>2017Q3</x:v>
      </x:c>
      <x:c r="B314" s="2" t="str">
        <x:v>Consumer Discretionary</x:v>
      </x:c>
      <x:c r="C314" s="2" t="str">
        <x:v>可选消费</x:v>
      </x:c>
      <x:c r="D314" s="16" t="n">
        <x:v>8.71</x:v>
      </x:c>
      <x:c r="E314" s="17" t="str">
        <x:v>曲线近似值</x:v>
      </x:c>
      <x:c r="F314" s="18" t="n">
        <x:v>0.2154</x:v>
      </x:c>
      <x:c r="G314" s="18" t="n">
        <x:v>412.529</x:v>
      </x:c>
      <x:c r="H314" s="18" t="n">
        <x:v>947.642</x:v>
      </x:c>
      <x:c r="I314" s="2" t="str">
        <x:v>历史图表；最终状态未核验</x:v>
      </x:c>
    </x:row>
    <x:row r="315" ht="24" customHeight="1">
      <x:c r="A315" s="2" t="str">
        <x:v>2017Q3</x:v>
      </x:c>
      <x:c r="B315" s="2" t="str">
        <x:v>Consumer Staples</x:v>
      </x:c>
      <x:c r="C315" s="2" t="str">
        <x:v>必需消费</x:v>
      </x:c>
      <x:c r="D315" s="16" t="n">
        <x:v>6.514</x:v>
      </x:c>
      <x:c r="E315" s="17" t="str">
        <x:v>曲线近似值</x:v>
      </x:c>
      <x:c r="F315" s="18" t="n">
        <x:v>0.0504</x:v>
      </x:c>
      <x:c r="G315" s="18" t="n">
        <x:v>412.529</x:v>
      </x:c>
      <x:c r="H315" s="18" t="n">
        <x:v>1257.171</x:v>
      </x:c>
      <x:c r="I315" s="2" t="str">
        <x:v>历史图表；最终状态未核验</x:v>
      </x:c>
    </x:row>
    <x:row r="316" ht="24" customHeight="1">
      <x:c r="A316" s="2" t="str">
        <x:v>2017Q3</x:v>
      </x:c>
      <x:c r="B316" s="2" t="str">
        <x:v>Energy</x:v>
      </x:c>
      <x:c r="C316" s="2" t="str">
        <x:v>能源</x:v>
      </x:c>
      <x:c r="D316" s="16" t="n">
        <x:v>3.96</x:v>
      </x:c>
      <x:c r="E316" s="17" t="str">
        <x:v>曲线近似值</x:v>
      </x:c>
      <x:c r="F316" s="18" t="n">
        <x:v>0.2158</x:v>
      </x:c>
      <x:c r="G316" s="18" t="n">
        <x:v>412.529</x:v>
      </x:c>
      <x:c r="H316" s="18" t="n">
        <x:v>1602.968</x:v>
      </x:c>
      <x:c r="I316" s="2" t="str">
        <x:v>历史图表；最终状态未核验</x:v>
      </x:c>
    </x:row>
    <x:row r="317" ht="24" customHeight="1">
      <x:c r="A317" s="2" t="str">
        <x:v>2017Q3</x:v>
      </x:c>
      <x:c r="B317" s="2" t="str">
        <x:v>Financials</x:v>
      </x:c>
      <x:c r="C317" s="2" t="str">
        <x:v>金融</x:v>
      </x:c>
      <x:c r="D317" s="16" t="n">
        <x:v>6.049</x:v>
      </x:c>
      <x:c r="E317" s="17" t="str">
        <x:v>曲线近似值</x:v>
      </x:c>
      <x:c r="F317" s="18" t="n">
        <x:v>0.1007</x:v>
      </x:c>
      <x:c r="G317" s="18" t="n">
        <x:v>412.529</x:v>
      </x:c>
      <x:c r="H317" s="18" t="n">
        <x:v>1934.599</x:v>
      </x:c>
      <x:c r="I317" s="2" t="str">
        <x:v>历史图表；最终状态未核验</x:v>
      </x:c>
    </x:row>
    <x:row r="318" ht="24" customHeight="1">
      <x:c r="A318" s="2" t="str">
        <x:v>2017Q3</x:v>
      </x:c>
      <x:c r="B318" s="2" t="str">
        <x:v>Health Care</x:v>
      </x:c>
      <x:c r="C318" s="2" t="str">
        <x:v>医疗保健</x:v>
      </x:c>
      <x:c r="D318" s="16" t="n">
        <x:v>13.923</x:v>
      </x:c>
      <x:c r="E318" s="17" t="str">
        <x:v>曲线近似值</x:v>
      </x:c>
      <x:c r="F318" s="18" t="n">
        <x:v>0.173</x:v>
      </x:c>
      <x:c r="G318" s="18" t="n">
        <x:v>1372.529</x:v>
      </x:c>
      <x:c r="H318" s="18" t="n">
        <x:v>267.849</x:v>
      </x:c>
      <x:c r="I318" s="2" t="str">
        <x:v>历史图表；最终状态未核验</x:v>
      </x:c>
    </x:row>
    <x:row r="319" ht="24" customHeight="1">
      <x:c r="A319" s="2" t="str">
        <x:v>2017Q3</x:v>
      </x:c>
      <x:c r="B319" s="2" t="str">
        <x:v>Industrials</x:v>
      </x:c>
      <x:c r="C319" s="2" t="str">
        <x:v>工业</x:v>
      </x:c>
      <x:c r="D319" s="16" t="n">
        <x:v>7.98</x:v>
      </x:c>
      <x:c r="E319" s="17" t="str">
        <x:v>曲线近似值</x:v>
      </x:c>
      <x:c r="F319" s="18" t="n">
        <x:v>0.1149</x:v>
      </x:c>
      <x:c r="G319" s="18" t="n">
        <x:v>1372.529</x:v>
      </x:c>
      <x:c r="H319" s="18" t="n">
        <x:v>560.603</x:v>
      </x:c>
      <x:c r="I319" s="2" t="str">
        <x:v>历史图表；最终状态未核验</x:v>
      </x:c>
    </x:row>
    <x:row r="320" ht="24" customHeight="1">
      <x:c r="A320" s="2" t="str">
        <x:v>2017Q3</x:v>
      </x:c>
      <x:c r="B320" s="2" t="str">
        <x:v>Information Technology</x:v>
      </x:c>
      <x:c r="C320" s="2" t="str">
        <x:v>信息技术</x:v>
      </x:c>
      <x:c r="D320" s="16" t="n">
        <x:v>13.413</x:v>
      </x:c>
      <x:c r="E320" s="17" t="str">
        <x:v>曲线近似值</x:v>
      </x:c>
      <x:c r="F320" s="18" t="n">
        <x:v>0.5027</x:v>
      </x:c>
      <x:c r="G320" s="18" t="n">
        <x:v>1372.529</x:v>
      </x:c>
      <x:c r="H320" s="18" t="n">
        <x:v>975.137</x:v>
      </x:c>
      <x:c r="I320" s="2" t="str">
        <x:v>历史图表；最终状态未核验</x:v>
      </x:c>
    </x:row>
    <x:row r="321" ht="24" customHeight="1">
      <x:c r="A321" s="2" t="str">
        <x:v>2017Q3</x:v>
      </x:c>
      <x:c r="B321" s="2" t="str">
        <x:v>Materials</x:v>
      </x:c>
      <x:c r="C321" s="2" t="str">
        <x:v>材料</x:v>
      </x:c>
      <x:c r="D321" s="16" t="n">
        <x:v>3.246</x:v>
      </x:c>
      <x:c r="E321" s="17" t="str">
        <x:v>曲线近似值</x:v>
      </x:c>
      <x:c r="F321" s="18" t="n">
        <x:v>0.0719</x:v>
      </x:c>
      <x:c r="G321" s="18" t="n">
        <x:v>1372.529</x:v>
      </x:c>
      <x:c r="H321" s="18" t="n">
        <x:v>1322.348</x:v>
      </x:c>
      <x:c r="I321" s="2" t="str">
        <x:v>历史图表；最终状态未核验</x:v>
      </x:c>
    </x:row>
    <x:row r="322" ht="24" customHeight="1">
      <x:c r="A322" s="2" t="str">
        <x:v>2017Q3</x:v>
      </x:c>
      <x:c r="B322" s="2" t="str">
        <x:v>Real Estate</x:v>
      </x:c>
      <x:c r="C322" s="2" t="str">
        <x:v>房地产</x:v>
      </x:c>
      <x:c r="D322" s="16" t="n">
        <x:v>2.246</x:v>
      </x:c>
      <x:c r="E322" s="17" t="str">
        <x:v>曲线近似值</x:v>
      </x:c>
      <x:c r="F322" s="18" t="n">
        <x:v>0.0115</x:v>
      </x:c>
      <x:c r="G322" s="18" t="n">
        <x:v>1372.529</x:v>
      </x:c>
      <x:c r="H322" s="18" t="n">
        <x:v>1643.244</x:v>
      </x:c>
      <x:c r="I322" s="2" t="str">
        <x:v>历史图表；最终状态未核验</x:v>
      </x:c>
    </x:row>
    <x:row r="323" ht="24" customHeight="1">
      <x:c r="A323" s="2" t="str">
        <x:v>2017Q3</x:v>
      </x:c>
      <x:c r="B323" s="2" t="str">
        <x:v>Utilities</x:v>
      </x:c>
      <x:c r="C323" s="2" t="str">
        <x:v>公用事业</x:v>
      </x:c>
      <x:c r="D323" s="16" t="n">
        <x:v>4.635</x:v>
      </x:c>
      <x:c r="E323" s="17" t="str">
        <x:v>曲线近似值</x:v>
      </x:c>
      <x:c r="F323" s="18" t="n">
        <x:v>0.036</x:v>
      </x:c>
      <x:c r="G323" s="18" t="n">
        <x:v>1372.529</x:v>
      </x:c>
      <x:c r="H323" s="18" t="n">
        <x:v>1868.484</x:v>
      </x:c>
      <x:c r="I323" s="2" t="str">
        <x:v>历史图表；最终状态未核验</x:v>
      </x:c>
    </x:row>
    <x:row r="324" ht="24" customHeight="1">
      <x:c r="A324" s="2" t="str">
        <x:v>2017Q4</x:v>
      </x:c>
      <x:c r="B324" s="2" t="str">
        <x:v>Communication Services</x:v>
      </x:c>
      <x:c r="C324" s="2" t="str">
        <x:v>通信服务</x:v>
      </x:c>
      <x:c r="D324" s="16" t="n">
        <x:v>2.967</x:v>
      </x:c>
      <x:c r="E324" s="17" t="str">
        <x:v>曲线近似值</x:v>
      </x:c>
      <x:c r="F324" s="18" t="n">
        <x:v>0.0862</x:v>
      </x:c>
      <x:c r="G324" s="18" t="n">
        <x:v>424.593</x:v>
      </x:c>
      <x:c r="H324" s="18" t="n">
        <x:v>630.648</x:v>
      </x:c>
      <x:c r="I324" s="2" t="str">
        <x:v>历史图表；最终状态未核验</x:v>
      </x:c>
    </x:row>
    <x:row r="325" ht="24" customHeight="1">
      <x:c r="A325" s="2" t="str">
        <x:v>2017Q4</x:v>
      </x:c>
      <x:c r="B325" s="2" t="str">
        <x:v>Consumer Discretionary</x:v>
      </x:c>
      <x:c r="C325" s="2" t="str">
        <x:v>可选消费</x:v>
      </x:c>
      <x:c r="D325" s="16" t="n">
        <x:v>8.959</x:v>
      </x:c>
      <x:c r="E325" s="17" t="str">
        <x:v>曲线近似值</x:v>
      </x:c>
      <x:c r="F325" s="18" t="n">
        <x:v>0.2154</x:v>
      </x:c>
      <x:c r="G325" s="18" t="n">
        <x:v>424.593</x:v>
      </x:c>
      <x:c r="H325" s="18" t="n">
        <x:v>945.329</x:v>
      </x:c>
      <x:c r="I325" s="2" t="str">
        <x:v>历史图表；最终状态未核验</x:v>
      </x:c>
    </x:row>
    <x:row r="326" ht="24" customHeight="1">
      <x:c r="A326" s="2" t="str">
        <x:v>2017Q4</x:v>
      </x:c>
      <x:c r="B326" s="2" t="str">
        <x:v>Consumer Staples</x:v>
      </x:c>
      <x:c r="C326" s="2" t="str">
        <x:v>必需消费</x:v>
      </x:c>
      <x:c r="D326" s="16" t="n">
        <x:v>7.455</x:v>
      </x:c>
      <x:c r="E326" s="17" t="str">
        <x:v>曲线近似值</x:v>
      </x:c>
      <x:c r="F326" s="18" t="n">
        <x:v>0.0504</x:v>
      </x:c>
      <x:c r="G326" s="18" t="n">
        <x:v>424.593</x:v>
      </x:c>
      <x:c r="H326" s="18" t="n">
        <x:v>1219.787</x:v>
      </x:c>
      <x:c r="I326" s="2" t="str">
        <x:v>历史图表；最终状态未核验</x:v>
      </x:c>
    </x:row>
    <x:row r="327" ht="24" customHeight="1">
      <x:c r="A327" s="2" t="str">
        <x:v>2017Q4</x:v>
      </x:c>
      <x:c r="B327" s="2" t="str">
        <x:v>Energy</x:v>
      </x:c>
      <x:c r="C327" s="2" t="str">
        <x:v>能源</x:v>
      </x:c>
      <x:c r="D327" s="16" t="n">
        <x:v>4.374</x:v>
      </x:c>
      <x:c r="E327" s="17" t="str">
        <x:v>曲线近似值</x:v>
      </x:c>
      <x:c r="F327" s="18" t="n">
        <x:v>0.2158</x:v>
      </x:c>
      <x:c r="G327" s="18" t="n">
        <x:v>424.593</x:v>
      </x:c>
      <x:c r="H327" s="18" t="n">
        <x:v>1599.137</x:v>
      </x:c>
      <x:c r="I327" s="2" t="str">
        <x:v>历史图表；最终状态未核验</x:v>
      </x:c>
    </x:row>
    <x:row r="328" ht="24" customHeight="1">
      <x:c r="A328" s="2" t="str">
        <x:v>2017Q4</x:v>
      </x:c>
      <x:c r="B328" s="2" t="str">
        <x:v>Financials</x:v>
      </x:c>
      <x:c r="C328" s="2" t="str">
        <x:v>金融</x:v>
      </x:c>
      <x:c r="D328" s="16" t="n">
        <x:v>6.978</x:v>
      </x:c>
      <x:c r="E328" s="17" t="str">
        <x:v>曲线近似值</x:v>
      </x:c>
      <x:c r="F328" s="18" t="n">
        <x:v>0.1007</x:v>
      </x:c>
      <x:c r="G328" s="18" t="n">
        <x:v>424.593</x:v>
      </x:c>
      <x:c r="H328" s="18" t="n">
        <x:v>1916.144</x:v>
      </x:c>
      <x:c r="I328" s="2" t="str">
        <x:v>历史图表；最终状态未核验</x:v>
      </x:c>
    </x:row>
    <x:row r="329" ht="24" customHeight="1">
      <x:c r="A329" s="2" t="str">
        <x:v>2017Q4</x:v>
      </x:c>
      <x:c r="B329" s="2" t="str">
        <x:v>Health Care</x:v>
      </x:c>
      <x:c r="C329" s="2" t="str">
        <x:v>医疗保健</x:v>
      </x:c>
      <x:c r="D329" s="16" t="n">
        <x:v>13.465</x:v>
      </x:c>
      <x:c r="E329" s="17" t="str">
        <x:v>曲线近似值</x:v>
      </x:c>
      <x:c r="F329" s="18" t="n">
        <x:v>0.173</x:v>
      </x:c>
      <x:c r="G329" s="18" t="n">
        <x:v>1384.593</x:v>
      </x:c>
      <x:c r="H329" s="18" t="n">
        <x:v>273.14</x:v>
      </x:c>
      <x:c r="I329" s="2" t="str">
        <x:v>历史图表；最终状态未核验</x:v>
      </x:c>
    </x:row>
    <x:row r="330" ht="24" customHeight="1">
      <x:c r="A330" s="2" t="str">
        <x:v>2017Q4</x:v>
      </x:c>
      <x:c r="B330" s="2" t="str">
        <x:v>Industrials</x:v>
      </x:c>
      <x:c r="C330" s="2" t="str">
        <x:v>工业</x:v>
      </x:c>
      <x:c r="D330" s="16" t="n">
        <x:v>7.301</x:v>
      </x:c>
      <x:c r="E330" s="17" t="str">
        <x:v>曲线近似值</x:v>
      </x:c>
      <x:c r="F330" s="18" t="n">
        <x:v>0.1149</x:v>
      </x:c>
      <x:c r="G330" s="18" t="n">
        <x:v>1384.593</x:v>
      </x:c>
      <x:c r="H330" s="18" t="n">
        <x:v>572.42</x:v>
      </x:c>
      <x:c r="I330" s="2" t="str">
        <x:v>历史图表；最终状态未核验</x:v>
      </x:c>
    </x:row>
    <x:row r="331" ht="24" customHeight="1">
      <x:c r="A331" s="2" t="str">
        <x:v>2017Q4</x:v>
      </x:c>
      <x:c r="B331" s="2" t="str">
        <x:v>Information Technology</x:v>
      </x:c>
      <x:c r="C331" s="2" t="str">
        <x:v>信息技术</x:v>
      </x:c>
      <x:c r="D331" s="16" t="n">
        <x:v>16.714</x:v>
      </x:c>
      <x:c r="E331" s="17" t="str">
        <x:v>曲线近似值</x:v>
      </x:c>
      <x:c r="F331" s="18" t="n">
        <x:v>0.5027</x:v>
      </x:c>
      <x:c r="G331" s="18" t="n">
        <x:v>1384.593</x:v>
      </x:c>
      <x:c r="H331" s="18" t="n">
        <x:v>962.003</x:v>
      </x:c>
      <x:c r="I331" s="2" t="str">
        <x:v>历史图表；最终状态未核验</x:v>
      </x:c>
    </x:row>
    <x:row r="332" ht="24" customHeight="1">
      <x:c r="A332" s="2" t="str">
        <x:v>2017Q4</x:v>
      </x:c>
      <x:c r="B332" s="2" t="str">
        <x:v>Materials</x:v>
      </x:c>
      <x:c r="C332" s="2" t="str">
        <x:v>材料</x:v>
      </x:c>
      <x:c r="D332" s="16" t="n">
        <x:v>3.436</x:v>
      </x:c>
      <x:c r="E332" s="17" t="str">
        <x:v>曲线近似值</x:v>
      </x:c>
      <x:c r="F332" s="18" t="n">
        <x:v>0.0719</x:v>
      </x:c>
      <x:c r="G332" s="18" t="n">
        <x:v>1384.593</x:v>
      </x:c>
      <x:c r="H332" s="18" t="n">
        <x:v>1317.069</x:v>
      </x:c>
      <x:c r="I332" s="2" t="str">
        <x:v>历史图表；最终状态未核验</x:v>
      </x:c>
    </x:row>
    <x:row r="333" ht="24" customHeight="1">
      <x:c r="A333" s="2" t="str">
        <x:v>2017Q4</x:v>
      </x:c>
      <x:c r="B333" s="2" t="str">
        <x:v>Real Estate</x:v>
      </x:c>
      <x:c r="C333" s="2" t="str">
        <x:v>房地产</x:v>
      </x:c>
      <x:c r="D333" s="16" t="n">
        <x:v>2.289</x:v>
      </x:c>
      <x:c r="E333" s="17" t="str">
        <x:v>曲线近似值</x:v>
      </x:c>
      <x:c r="F333" s="18" t="n">
        <x:v>0.0115</x:v>
      </x:c>
      <x:c r="G333" s="18" t="n">
        <x:v>1384.593</x:v>
      </x:c>
      <x:c r="H333" s="18" t="n">
        <x:v>1635.775</x:v>
      </x:c>
      <x:c r="I333" s="2" t="str">
        <x:v>历史图表；最终状态未核验</x:v>
      </x:c>
    </x:row>
    <x:row r="334" ht="24" customHeight="1">
      <x:c r="A334" s="2" t="str">
        <x:v>2017Q4</x:v>
      </x:c>
      <x:c r="B334" s="2" t="str">
        <x:v>Utilities</x:v>
      </x:c>
      <x:c r="C334" s="2" t="str">
        <x:v>公用事业</x:v>
      </x:c>
      <x:c r="D334" s="16" t="n">
        <x:v>3.154</x:v>
      </x:c>
      <x:c r="E334" s="17" t="str">
        <x:v>曲线近似值</x:v>
      </x:c>
      <x:c r="F334" s="18" t="n">
        <x:v>0.036</x:v>
      </x:c>
      <x:c r="G334" s="18" t="n">
        <x:v>1384.593</x:v>
      </x:c>
      <x:c r="H334" s="18" t="n">
        <x:v>1950.858</x:v>
      </x:c>
      <x:c r="I334" s="2" t="str">
        <x:v>历史图表；最终状态未核验</x:v>
      </x:c>
    </x:row>
    <x:row r="335" ht="24" customHeight="1">
      <x:c r="A335" s="2" t="str">
        <x:v>2018Q1</x:v>
      </x:c>
      <x:c r="B335" s="2" t="str">
        <x:v>Communication Services</x:v>
      </x:c>
      <x:c r="C335" s="2" t="str">
        <x:v>通信服务</x:v>
      </x:c>
      <x:c r="D335" s="16" t="n">
        <x:v>3.934</x:v>
      </x:c>
      <x:c r="E335" s="17" t="str">
        <x:v>曲线近似值</x:v>
      </x:c>
      <x:c r="F335" s="18" t="n">
        <x:v>0.0862</x:v>
      </x:c>
      <x:c r="G335" s="18" t="n">
        <x:v>436.671</x:v>
      </x:c>
      <x:c r="H335" s="18" t="n">
        <x:v>608.21</x:v>
      </x:c>
      <x:c r="I335" s="2" t="str">
        <x:v>历史图表；最终状态未核验</x:v>
      </x:c>
    </x:row>
    <x:row r="336" ht="24" customHeight="1">
      <x:c r="A336" s="2" t="str">
        <x:v>2018Q1</x:v>
      </x:c>
      <x:c r="B336" s="2" t="str">
        <x:v>Consumer Discretionary</x:v>
      </x:c>
      <x:c r="C336" s="2" t="str">
        <x:v>可选消费</x:v>
      </x:c>
      <x:c r="D336" s="16" t="n">
        <x:v>8.557</x:v>
      </x:c>
      <x:c r="E336" s="17" t="str">
        <x:v>曲线近似值</x:v>
      </x:c>
      <x:c r="F336" s="18" t="n">
        <x:v>0.2154</x:v>
      </x:c>
      <x:c r="G336" s="18" t="n">
        <x:v>436.671</x:v>
      </x:c>
      <x:c r="H336" s="18" t="n">
        <x:v>949.059</x:v>
      </x:c>
      <x:c r="I336" s="2" t="str">
        <x:v>历史图表；最终状态未核验</x:v>
      </x:c>
    </x:row>
    <x:row r="337" ht="24" customHeight="1">
      <x:c r="A337" s="2" t="str">
        <x:v>2018Q1</x:v>
      </x:c>
      <x:c r="B337" s="2" t="str">
        <x:v>Consumer Staples</x:v>
      </x:c>
      <x:c r="C337" s="2" t="str">
        <x:v>必需消费</x:v>
      </x:c>
      <x:c r="D337" s="16" t="n">
        <x:v>6.48</x:v>
      </x:c>
      <x:c r="E337" s="17" t="str">
        <x:v>曲线近似值</x:v>
      </x:c>
      <x:c r="F337" s="18" t="n">
        <x:v>0.0504</x:v>
      </x:c>
      <x:c r="G337" s="18" t="n">
        <x:v>436.671</x:v>
      </x:c>
      <x:c r="H337" s="18" t="n">
        <x:v>1258.52</x:v>
      </x:c>
      <x:c r="I337" s="2" t="str">
        <x:v>历史图表；最终状态未核验</x:v>
      </x:c>
    </x:row>
    <x:row r="338" ht="24" customHeight="1">
      <x:c r="A338" s="2" t="str">
        <x:v>2018Q1</x:v>
      </x:c>
      <x:c r="B338" s="2" t="str">
        <x:v>Energy</x:v>
      </x:c>
      <x:c r="C338" s="2" t="str">
        <x:v>能源</x:v>
      </x:c>
      <x:c r="D338" s="16" t="n">
        <x:v>6.069</x:v>
      </x:c>
      <x:c r="E338" s="17" t="str">
        <x:v>曲线近似值</x:v>
      </x:c>
      <x:c r="F338" s="18" t="n">
        <x:v>0.2158</x:v>
      </x:c>
      <x:c r="G338" s="18" t="n">
        <x:v>436.671</x:v>
      </x:c>
      <x:c r="H338" s="18" t="n">
        <x:v>1583.423</x:v>
      </x:c>
      <x:c r="I338" s="2" t="str">
        <x:v>历史图表；最终状态未核验</x:v>
      </x:c>
    </x:row>
    <x:row r="339" ht="24" customHeight="1">
      <x:c r="A339" s="2" t="str">
        <x:v>2018Q1</x:v>
      </x:c>
      <x:c r="B339" s="2" t="str">
        <x:v>Financials</x:v>
      </x:c>
      <x:c r="C339" s="2" t="str">
        <x:v>金融</x:v>
      </x:c>
      <x:c r="D339" s="16" t="n">
        <x:v>8.671</x:v>
      </x:c>
      <x:c r="E339" s="17" t="str">
        <x:v>曲线近似值</x:v>
      </x:c>
      <x:c r="F339" s="18" t="n">
        <x:v>0.1007</x:v>
      </x:c>
      <x:c r="G339" s="18" t="n">
        <x:v>436.671</x:v>
      </x:c>
      <x:c r="H339" s="18" t="n">
        <x:v>1882.526</x:v>
      </x:c>
      <x:c r="I339" s="2" t="str">
        <x:v>历史图表；最终状态未核验</x:v>
      </x:c>
    </x:row>
    <x:row r="340" ht="24" customHeight="1">
      <x:c r="A340" s="2" t="str">
        <x:v>2018Q1</x:v>
      </x:c>
      <x:c r="B340" s="2" t="str">
        <x:v>Health Care</x:v>
      </x:c>
      <x:c r="C340" s="2" t="str">
        <x:v>医疗保健</x:v>
      </x:c>
      <x:c r="D340" s="16" t="n">
        <x:v>15.61</x:v>
      </x:c>
      <x:c r="E340" s="17" t="str">
        <x:v>曲线近似值</x:v>
      </x:c>
      <x:c r="F340" s="18" t="n">
        <x:v>0.173</x:v>
      </x:c>
      <x:c r="G340" s="18" t="n">
        <x:v>1396.671</x:v>
      </x:c>
      <x:c r="H340" s="18" t="n">
        <x:v>248.354</x:v>
      </x:c>
      <x:c r="I340" s="2" t="str">
        <x:v>历史图表；最终状态未核验</x:v>
      </x:c>
    </x:row>
    <x:row r="341" ht="24" customHeight="1">
      <x:c r="A341" s="2" t="str">
        <x:v>2018Q1</x:v>
      </x:c>
      <x:c r="B341" s="2" t="str">
        <x:v>Industrials</x:v>
      </x:c>
      <x:c r="C341" s="2" t="str">
        <x:v>工业</x:v>
      </x:c>
      <x:c r="D341" s="16" t="n">
        <x:v>7.86</x:v>
      </x:c>
      <x:c r="E341" s="17" t="str">
        <x:v>曲线近似值</x:v>
      </x:c>
      <x:c r="F341" s="18" t="n">
        <x:v>0.1149</x:v>
      </x:c>
      <x:c r="G341" s="18" t="n">
        <x:v>1396.671</x:v>
      </x:c>
      <x:c r="H341" s="18" t="n">
        <x:v>562.693</x:v>
      </x:c>
      <x:c r="I341" s="2" t="str">
        <x:v>历史图表；最终状态未核验</x:v>
      </x:c>
    </x:row>
    <x:row r="342" ht="24" customHeight="1">
      <x:c r="A342" s="2" t="str">
        <x:v>2018Q1</x:v>
      </x:c>
      <x:c r="B342" s="2" t="str">
        <x:v>Information Technology</x:v>
      </x:c>
      <x:c r="C342" s="2" t="str">
        <x:v>信息技术</x:v>
      </x:c>
      <x:c r="D342" s="16" t="n">
        <x:v>15.683</x:v>
      </x:c>
      <x:c r="E342" s="17" t="str">
        <x:v>曲线近似值</x:v>
      </x:c>
      <x:c r="F342" s="18" t="n">
        <x:v>0.5027</x:v>
      </x:c>
      <x:c r="G342" s="18" t="n">
        <x:v>1396.671</x:v>
      </x:c>
      <x:c r="H342" s="18" t="n">
        <x:v>966.103</x:v>
      </x:c>
      <x:c r="I342" s="2" t="str">
        <x:v>历史图表；最终状态未核验</x:v>
      </x:c>
    </x:row>
    <x:row r="343" ht="24" customHeight="1">
      <x:c r="A343" s="2" t="str">
        <x:v>2018Q1</x:v>
      </x:c>
      <x:c r="B343" s="2" t="str">
        <x:v>Materials</x:v>
      </x:c>
      <x:c r="C343" s="2" t="str">
        <x:v>材料</x:v>
      </x:c>
      <x:c r="D343" s="16" t="n">
        <x:v>3.347</x:v>
      </x:c>
      <x:c r="E343" s="17" t="str">
        <x:v>曲线近似值</x:v>
      </x:c>
      <x:c r="F343" s="18" t="n">
        <x:v>0.0719</x:v>
      </x:c>
      <x:c r="G343" s="18" t="n">
        <x:v>1396.671</x:v>
      </x:c>
      <x:c r="H343" s="18" t="n">
        <x:v>1319.56</x:v>
      </x:c>
      <x:c r="I343" s="2" t="str">
        <x:v>历史图表；最终状态未核验</x:v>
      </x:c>
    </x:row>
    <x:row r="344" ht="24" customHeight="1">
      <x:c r="A344" s="2" t="str">
        <x:v>2018Q1</x:v>
      </x:c>
      <x:c r="B344" s="2" t="str">
        <x:v>Real Estate</x:v>
      </x:c>
      <x:c r="C344" s="2" t="str">
        <x:v>房地产</x:v>
      </x:c>
      <x:c r="D344" s="16" t="n">
        <x:v>2.232</x:v>
      </x:c>
      <x:c r="E344" s="17" t="str">
        <x:v>曲线近似值</x:v>
      </x:c>
      <x:c r="F344" s="18" t="n">
        <x:v>0.0115</x:v>
      </x:c>
      <x:c r="G344" s="18" t="n">
        <x:v>1396.671</x:v>
      </x:c>
      <x:c r="H344" s="18" t="n">
        <x:v>1645.667</x:v>
      </x:c>
      <x:c r="I344" s="2" t="str">
        <x:v>历史图表；最终状态未核验</x:v>
      </x:c>
    </x:row>
    <x:row r="345" ht="24" customHeight="1">
      <x:c r="A345" s="2" t="str">
        <x:v>2018Q1</x:v>
      </x:c>
      <x:c r="B345" s="2" t="str">
        <x:v>Utilities</x:v>
      </x:c>
      <x:c r="C345" s="2" t="str">
        <x:v>公用事业</x:v>
      </x:c>
      <x:c r="D345" s="16" t="n">
        <x:v>4.379</x:v>
      </x:c>
      <x:c r="E345" s="17" t="str">
        <x:v>曲线近似值</x:v>
      </x:c>
      <x:c r="F345" s="18" t="n">
        <x:v>0.036</x:v>
      </x:c>
      <x:c r="G345" s="18" t="n">
        <x:v>1396.671</x:v>
      </x:c>
      <x:c r="H345" s="18" t="n">
        <x:v>1882.75</x:v>
      </x:c>
      <x:c r="I345" s="2" t="str">
        <x:v>历史图表；最终状态未核验</x:v>
      </x:c>
    </x:row>
    <x:row r="346" ht="24" customHeight="1">
      <x:c r="A346" s="2" t="str">
        <x:v>2018Q2</x:v>
      </x:c>
      <x:c r="B346" s="2" t="str">
        <x:v>Communication Services</x:v>
      </x:c>
      <x:c r="C346" s="2" t="str">
        <x:v>通信服务</x:v>
      </x:c>
      <x:c r="D346" s="16" t="n">
        <x:v>3.798</x:v>
      </x:c>
      <x:c r="E346" s="17" t="str">
        <x:v>曲线近似值</x:v>
      </x:c>
      <x:c r="F346" s="18" t="n">
        <x:v>0.0862</x:v>
      </x:c>
      <x:c r="G346" s="18" t="n">
        <x:v>448.676</x:v>
      </x:c>
      <x:c r="H346" s="18" t="n">
        <x:v>611.357</x:v>
      </x:c>
      <x:c r="I346" s="2" t="str">
        <x:v>历史图表；最终状态未核验</x:v>
      </x:c>
    </x:row>
    <x:row r="347" ht="24" customHeight="1">
      <x:c r="A347" s="2" t="str">
        <x:v>2018Q2</x:v>
      </x:c>
      <x:c r="B347" s="2" t="str">
        <x:v>Consumer Discretionary</x:v>
      </x:c>
      <x:c r="C347" s="2" t="str">
        <x:v>可选消费</x:v>
      </x:c>
      <x:c r="D347" s="16" t="n">
        <x:v>7.97</x:v>
      </x:c>
      <x:c r="E347" s="17" t="str">
        <x:v>曲线近似值</x:v>
      </x:c>
      <x:c r="F347" s="18" t="n">
        <x:v>0.2154</x:v>
      </x:c>
      <x:c r="G347" s="18" t="n">
        <x:v>448.676</x:v>
      </x:c>
      <x:c r="H347" s="18" t="n">
        <x:v>954.516</x:v>
      </x:c>
      <x:c r="I347" s="2" t="str">
        <x:v>历史图表；最终状态未核验</x:v>
      </x:c>
    </x:row>
    <x:row r="348" ht="24" customHeight="1">
      <x:c r="A348" s="2" t="str">
        <x:v>2018Q2</x:v>
      </x:c>
      <x:c r="B348" s="2" t="str">
        <x:v>Consumer Staples</x:v>
      </x:c>
      <x:c r="C348" s="2" t="str">
        <x:v>必需消费</x:v>
      </x:c>
      <x:c r="D348" s="16" t="n">
        <x:v>7.436</x:v>
      </x:c>
      <x:c r="E348" s="17" t="str">
        <x:v>曲线近似值</x:v>
      </x:c>
      <x:c r="F348" s="18" t="n">
        <x:v>0.0504</x:v>
      </x:c>
      <x:c r="G348" s="18" t="n">
        <x:v>448.676</x:v>
      </x:c>
      <x:c r="H348" s="18" t="n">
        <x:v>1220.539</x:v>
      </x:c>
      <x:c r="I348" s="2" t="str">
        <x:v>历史图表；最终状态未核验</x:v>
      </x:c>
    </x:row>
    <x:row r="349" ht="24" customHeight="1">
      <x:c r="A349" s="2" t="str">
        <x:v>2018Q2</x:v>
      </x:c>
      <x:c r="B349" s="2" t="str">
        <x:v>Energy</x:v>
      </x:c>
      <x:c r="C349" s="2" t="str">
        <x:v>能源</x:v>
      </x:c>
      <x:c r="D349" s="16" t="n">
        <x:v>6.902</x:v>
      </x:c>
      <x:c r="E349" s="17" t="str">
        <x:v>曲线近似值</x:v>
      </x:c>
      <x:c r="F349" s="18" t="n">
        <x:v>0.2158</x:v>
      </x:c>
      <x:c r="G349" s="18" t="n">
        <x:v>448.676</x:v>
      </x:c>
      <x:c r="H349" s="18" t="n">
        <x:v>1575.707</x:v>
      </x:c>
      <x:c r="I349" s="2" t="str">
        <x:v>历史图表；最终状态未核验</x:v>
      </x:c>
    </x:row>
    <x:row r="350" ht="24" customHeight="1">
      <x:c r="A350" s="2" t="str">
        <x:v>2018Q2</x:v>
      </x:c>
      <x:c r="B350" s="2" t="str">
        <x:v>Financials</x:v>
      </x:c>
      <x:c r="C350" s="2" t="str">
        <x:v>金融</x:v>
      </x:c>
      <x:c r="D350" s="16" t="n">
        <x:v>8.673</x:v>
      </x:c>
      <x:c r="E350" s="17" t="str">
        <x:v>曲线近似值</x:v>
      </x:c>
      <x:c r="F350" s="18" t="n">
        <x:v>0.1007</x:v>
      </x:c>
      <x:c r="G350" s="18" t="n">
        <x:v>448.676</x:v>
      </x:c>
      <x:c r="H350" s="18" t="n">
        <x:v>1882.484</x:v>
      </x:c>
      <x:c r="I350" s="2" t="str">
        <x:v>历史图表；最终状态未核验</x:v>
      </x:c>
    </x:row>
    <x:row r="351" ht="24" customHeight="1">
      <x:c r="A351" s="2" t="str">
        <x:v>2018Q2</x:v>
      </x:c>
      <x:c r="B351" s="2" t="str">
        <x:v>Health Care</x:v>
      </x:c>
      <x:c r="C351" s="2" t="str">
        <x:v>医疗保健</x:v>
      </x:c>
      <x:c r="D351" s="16" t="n">
        <x:v>16.27</x:v>
      </x:c>
      <x:c r="E351" s="17" t="str">
        <x:v>曲线近似值</x:v>
      </x:c>
      <x:c r="F351" s="18" t="n">
        <x:v>0.173</x:v>
      </x:c>
      <x:c r="G351" s="18" t="n">
        <x:v>1408.676</x:v>
      </x:c>
      <x:c r="H351" s="18" t="n">
        <x:v>240.719</x:v>
      </x:c>
      <x:c r="I351" s="2" t="str">
        <x:v>历史图表；最终状态未核验</x:v>
      </x:c>
    </x:row>
    <x:row r="352" ht="24" customHeight="1">
      <x:c r="A352" s="2" t="str">
        <x:v>2018Q2</x:v>
      </x:c>
      <x:c r="B352" s="2" t="str">
        <x:v>Industrials</x:v>
      </x:c>
      <x:c r="C352" s="2" t="str">
        <x:v>工业</x:v>
      </x:c>
      <x:c r="D352" s="16" t="n">
        <x:v>9.635</x:v>
      </x:c>
      <x:c r="E352" s="17" t="str">
        <x:v>曲线近似值</x:v>
      </x:c>
      <x:c r="F352" s="18" t="n">
        <x:v>0.1149</x:v>
      </x:c>
      <x:c r="G352" s="18" t="n">
        <x:v>1408.676</x:v>
      </x:c>
      <x:c r="H352" s="18" t="n">
        <x:v>531.795</x:v>
      </x:c>
      <x:c r="I352" s="2" t="str">
        <x:v>历史图表；最终状态未核验</x:v>
      </x:c>
    </x:row>
    <x:row r="353" ht="24" customHeight="1">
      <x:c r="A353" s="2" t="str">
        <x:v>2018Q2</x:v>
      </x:c>
      <x:c r="B353" s="2" t="str">
        <x:v>Information Technology</x:v>
      </x:c>
      <x:c r="C353" s="2" t="str">
        <x:v>信息技术</x:v>
      </x:c>
      <x:c r="D353" s="16" t="n">
        <x:v>14.713</x:v>
      </x:c>
      <x:c r="E353" s="17" t="str">
        <x:v>曲线近似值</x:v>
      </x:c>
      <x:c r="F353" s="18" t="n">
        <x:v>0.5027</x:v>
      </x:c>
      <x:c r="G353" s="18" t="n">
        <x:v>1408.676</x:v>
      </x:c>
      <x:c r="H353" s="18" t="n">
        <x:v>969.963</x:v>
      </x:c>
      <x:c r="I353" s="2" t="str">
        <x:v>历史图表；最终状态未核验</x:v>
      </x:c>
    </x:row>
    <x:row r="354" ht="24" customHeight="1">
      <x:c r="A354" s="2" t="str">
        <x:v>2018Q2</x:v>
      </x:c>
      <x:c r="B354" s="2" t="str">
        <x:v>Materials</x:v>
      </x:c>
      <x:c r="C354" s="2" t="str">
        <x:v>材料</x:v>
      </x:c>
      <x:c r="D354" s="16" t="n">
        <x:v>4.71</x:v>
      </x:c>
      <x:c r="E354" s="17" t="str">
        <x:v>曲线近似值</x:v>
      </x:c>
      <x:c r="F354" s="18" t="n">
        <x:v>0.0719</x:v>
      </x:c>
      <x:c r="G354" s="18" t="n">
        <x:v>1408.676</x:v>
      </x:c>
      <x:c r="H354" s="18" t="n">
        <x:v>1281.662</x:v>
      </x:c>
      <x:c r="I354" s="2" t="str">
        <x:v>历史图表；最终状态未核验</x:v>
      </x:c>
    </x:row>
    <x:row r="355" ht="24" customHeight="1">
      <x:c r="A355" s="2" t="str">
        <x:v>2018Q2</x:v>
      </x:c>
      <x:c r="B355" s="2" t="str">
        <x:v>Real Estate</x:v>
      </x:c>
      <x:c r="C355" s="2" t="str">
        <x:v>房地产</x:v>
      </x:c>
      <x:c r="D355" s="16" t="n">
        <x:v>2.32</x:v>
      </x:c>
      <x:c r="E355" s="17" t="str">
        <x:v>曲线近似值</x:v>
      </x:c>
      <x:c r="F355" s="18" t="n">
        <x:v>0.0115</x:v>
      </x:c>
      <x:c r="G355" s="18" t="n">
        <x:v>1408.676</x:v>
      </x:c>
      <x:c r="H355" s="18" t="n">
        <x:v>1630.337</x:v>
      </x:c>
      <x:c r="I355" s="2" t="str">
        <x:v>历史图表；最终状态未核验</x:v>
      </x:c>
    </x:row>
    <x:row r="356" ht="24" customHeight="1">
      <x:c r="A356" s="2" t="str">
        <x:v>2018Q2</x:v>
      </x:c>
      <x:c r="B356" s="2" t="str">
        <x:v>Utilities</x:v>
      </x:c>
      <x:c r="C356" s="2" t="str">
        <x:v>公用事业</x:v>
      </x:c>
      <x:c r="D356" s="16" t="n">
        <x:v>3.633</x:v>
      </x:c>
      <x:c r="E356" s="17" t="str">
        <x:v>曲线近似值</x:v>
      </x:c>
      <x:c r="F356" s="18" t="n">
        <x:v>0.036</x:v>
      </x:c>
      <x:c r="G356" s="18" t="n">
        <x:v>1408.676</x:v>
      </x:c>
      <x:c r="H356" s="18" t="n">
        <x:v>1924.216</x:v>
      </x:c>
      <x:c r="I356" s="2" t="str">
        <x:v>历史图表；最终状态未核验</x:v>
      </x:c>
    </x:row>
    <x:row r="357" ht="24" customHeight="1">
      <x:c r="A357" s="2" t="str">
        <x:v>2018Q3</x:v>
      </x:c>
      <x:c r="B357" s="2" t="str">
        <x:v>Communication Services</x:v>
      </x:c>
      <x:c r="C357" s="2" t="str">
        <x:v>通信服务</x:v>
      </x:c>
      <x:c r="D357" s="16" t="n">
        <x:v>2.125</x:v>
      </x:c>
      <x:c r="E357" s="17" t="str">
        <x:v>曲线近似值</x:v>
      </x:c>
      <x:c r="F357" s="18" t="n">
        <x:v>0.0862</x:v>
      </x:c>
      <x:c r="G357" s="18" t="n">
        <x:v>460.578</x:v>
      </x:c>
      <x:c r="H357" s="18" t="n">
        <x:v>650.182</x:v>
      </x:c>
      <x:c r="I357" s="2" t="str">
        <x:v>历史图表；最终状态未核验</x:v>
      </x:c>
    </x:row>
    <x:row r="358" ht="24" customHeight="1">
      <x:c r="A358" s="2" t="str">
        <x:v>2018Q3</x:v>
      </x:c>
      <x:c r="B358" s="2" t="str">
        <x:v>Consumer Discretionary</x:v>
      </x:c>
      <x:c r="C358" s="2" t="str">
        <x:v>可选消费</x:v>
      </x:c>
      <x:c r="D358" s="16" t="n">
        <x:v>10.515</x:v>
      </x:c>
      <x:c r="E358" s="17" t="str">
        <x:v>曲线近似值</x:v>
      </x:c>
      <x:c r="F358" s="18" t="n">
        <x:v>0.2154</x:v>
      </x:c>
      <x:c r="G358" s="18" t="n">
        <x:v>460.578</x:v>
      </x:c>
      <x:c r="H358" s="18" t="n">
        <x:v>930.89</x:v>
      </x:c>
      <x:c r="I358" s="2" t="str">
        <x:v>历史图表；最终状态未核验</x:v>
      </x:c>
    </x:row>
    <x:row r="359" ht="24" customHeight="1">
      <x:c r="A359" s="2" t="str">
        <x:v>2018Q3</x:v>
      </x:c>
      <x:c r="B359" s="2" t="str">
        <x:v>Consumer Staples</x:v>
      </x:c>
      <x:c r="C359" s="2" t="str">
        <x:v>必需消费</x:v>
      </x:c>
      <x:c r="D359" s="16" t="n">
        <x:v>7.917</x:v>
      </x:c>
      <x:c r="E359" s="17" t="str">
        <x:v>曲线近似值</x:v>
      </x:c>
      <x:c r="F359" s="18" t="n">
        <x:v>0.0504</x:v>
      </x:c>
      <x:c r="G359" s="18" t="n">
        <x:v>460.578</x:v>
      </x:c>
      <x:c r="H359" s="18" t="n">
        <x:v>1201.444</x:v>
      </x:c>
      <x:c r="I359" s="2" t="str">
        <x:v>历史图表；最终状态未核验</x:v>
      </x:c>
    </x:row>
    <x:row r="360" ht="24" customHeight="1">
      <x:c r="A360" s="2" t="str">
        <x:v>2018Q3</x:v>
      </x:c>
      <x:c r="B360" s="2" t="str">
        <x:v>Energy</x:v>
      </x:c>
      <x:c r="C360" s="2" t="str">
        <x:v>能源</x:v>
      </x:c>
      <x:c r="D360" s="16" t="n">
        <x:v>8.591</x:v>
      </x:c>
      <x:c r="E360" s="17" t="str">
        <x:v>曲线近似值</x:v>
      </x:c>
      <x:c r="F360" s="18" t="n">
        <x:v>0.2158</x:v>
      </x:c>
      <x:c r="G360" s="18" t="n">
        <x:v>460.578</x:v>
      </x:c>
      <x:c r="H360" s="18" t="n">
        <x:v>1560.054</x:v>
      </x:c>
      <x:c r="I360" s="2" t="str">
        <x:v>历史图表；最终状态未核验</x:v>
      </x:c>
    </x:row>
    <x:row r="361" ht="24" customHeight="1">
      <x:c r="A361" s="2" t="str">
        <x:v>2018Q3</x:v>
      </x:c>
      <x:c r="B361" s="2" t="str">
        <x:v>Financials</x:v>
      </x:c>
      <x:c r="C361" s="2" t="str">
        <x:v>金融</x:v>
      </x:c>
      <x:c r="D361" s="16" t="n">
        <x:v>8.734</x:v>
      </x:c>
      <x:c r="E361" s="17" t="str">
        <x:v>曲线近似值</x:v>
      </x:c>
      <x:c r="F361" s="18" t="n">
        <x:v>0.1007</x:v>
      </x:c>
      <x:c r="G361" s="18" t="n">
        <x:v>460.578</x:v>
      </x:c>
      <x:c r="H361" s="18" t="n">
        <x:v>1881.29</x:v>
      </x:c>
      <x:c r="I361" s="2" t="str">
        <x:v>历史图表；最终状态未核验</x:v>
      </x:c>
    </x:row>
    <x:row r="362" ht="24" customHeight="1">
      <x:c r="A362" s="2" t="str">
        <x:v>2018Q3</x:v>
      </x:c>
      <x:c r="B362" s="2" t="str">
        <x:v>Health Care</x:v>
      </x:c>
      <x:c r="C362" s="2" t="str">
        <x:v>医疗保健</x:v>
      </x:c>
      <x:c r="D362" s="16" t="n">
        <x:v>15.705</x:v>
      </x:c>
      <x:c r="E362" s="17" t="str">
        <x:v>曲线近似值</x:v>
      </x:c>
      <x:c r="F362" s="18" t="n">
        <x:v>0.173</x:v>
      </x:c>
      <x:c r="G362" s="18" t="n">
        <x:v>1420.578</x:v>
      </x:c>
      <x:c r="H362" s="18" t="n">
        <x:v>247.254</x:v>
      </x:c>
      <x:c r="I362" s="2" t="str">
        <x:v>历史图表；最终状态未核验</x:v>
      </x:c>
    </x:row>
    <x:row r="363" ht="24" customHeight="1">
      <x:c r="A363" s="2" t="str">
        <x:v>2018Q3</x:v>
      </x:c>
      <x:c r="B363" s="2" t="str">
        <x:v>Industrials</x:v>
      </x:c>
      <x:c r="C363" s="2" t="str">
        <x:v>工业</x:v>
      </x:c>
      <x:c r="D363" s="16" t="n">
        <x:v>9.326</x:v>
      </x:c>
      <x:c r="E363" s="17" t="str">
        <x:v>曲线近似值</x:v>
      </x:c>
      <x:c r="F363" s="18" t="n">
        <x:v>0.1149</x:v>
      </x:c>
      <x:c r="G363" s="18" t="n">
        <x:v>1420.578</x:v>
      </x:c>
      <x:c r="H363" s="18" t="n">
        <x:v>537.17</x:v>
      </x:c>
      <x:c r="I363" s="2" t="str">
        <x:v>历史图表；最终状态未核验</x:v>
      </x:c>
    </x:row>
    <x:row r="364" ht="24" customHeight="1">
      <x:c r="A364" s="2" t="str">
        <x:v>2018Q3</x:v>
      </x:c>
      <x:c r="B364" s="2" t="str">
        <x:v>Information Technology</x:v>
      </x:c>
      <x:c r="C364" s="2" t="str">
        <x:v>信息技术</x:v>
      </x:c>
      <x:c r="D364" s="16" t="n">
        <x:v>17.633</x:v>
      </x:c>
      <x:c r="E364" s="17" t="str">
        <x:v>曲线近似值</x:v>
      </x:c>
      <x:c r="F364" s="18" t="n">
        <x:v>0.5027</x:v>
      </x:c>
      <x:c r="G364" s="18" t="n">
        <x:v>1420.578</x:v>
      </x:c>
      <x:c r="H364" s="18" t="n">
        <x:v>958.345</x:v>
      </x:c>
      <x:c r="I364" s="2" t="str">
        <x:v>历史图表；最终状态未核验</x:v>
      </x:c>
    </x:row>
    <x:row r="365" ht="24" customHeight="1">
      <x:c r="A365" s="2" t="str">
        <x:v>2018Q3</x:v>
      </x:c>
      <x:c r="B365" s="2" t="str">
        <x:v>Materials</x:v>
      </x:c>
      <x:c r="C365" s="2" t="str">
        <x:v>材料</x:v>
      </x:c>
      <x:c r="D365" s="16" t="n">
        <x:v>6.103</x:v>
      </x:c>
      <x:c r="E365" s="17" t="str">
        <x:v>曲线近似值</x:v>
      </x:c>
      <x:c r="F365" s="18" t="n">
        <x:v>0.0719</x:v>
      </x:c>
      <x:c r="G365" s="18" t="n">
        <x:v>1420.578</x:v>
      </x:c>
      <x:c r="H365" s="18" t="n">
        <x:v>1242.945</x:v>
      </x:c>
      <x:c r="I365" s="2" t="str">
        <x:v>历史图表；最终状态未核验</x:v>
      </x:c>
    </x:row>
    <x:row r="366" ht="24" customHeight="1">
      <x:c r="A366" s="2" t="str">
        <x:v>2018Q3</x:v>
      </x:c>
      <x:c r="B366" s="2" t="str">
        <x:v>Real Estate</x:v>
      </x:c>
      <x:c r="C366" s="2" t="str">
        <x:v>房地产</x:v>
      </x:c>
      <x:c r="D366" s="16" t="n">
        <x:v>2.335</x:v>
      </x:c>
      <x:c r="E366" s="17" t="str">
        <x:v>曲线近似值</x:v>
      </x:c>
      <x:c r="F366" s="18" t="n">
        <x:v>0.0115</x:v>
      </x:c>
      <x:c r="G366" s="18" t="n">
        <x:v>1420.578</x:v>
      </x:c>
      <x:c r="H366" s="18" t="n">
        <x:v>1627.736</x:v>
      </x:c>
      <x:c r="I366" s="2" t="str">
        <x:v>历史图表；最终状态未核验</x:v>
      </x:c>
    </x:row>
    <x:row r="367" ht="24" customHeight="1">
      <x:c r="A367" s="2" t="str">
        <x:v>2018Q3</x:v>
      </x:c>
      <x:c r="B367" s="2" t="str">
        <x:v>Utilities</x:v>
      </x:c>
      <x:c r="C367" s="2" t="str">
        <x:v>公用事业</x:v>
      </x:c>
      <x:c r="D367" s="16" t="n">
        <x:v>5.154</x:v>
      </x:c>
      <x:c r="E367" s="17" t="str">
        <x:v>曲线近似值</x:v>
      </x:c>
      <x:c r="F367" s="18" t="n">
        <x:v>0.036</x:v>
      </x:c>
      <x:c r="G367" s="18" t="n">
        <x:v>1420.578</x:v>
      </x:c>
      <x:c r="H367" s="18" t="n">
        <x:v>1839.641</x:v>
      </x:c>
      <x:c r="I367" s="2" t="str">
        <x:v>历史图表；最终状态未核验</x:v>
      </x:c>
    </x:row>
    <x:row r="368" ht="24" customHeight="1">
      <x:c r="A368" s="2" t="str">
        <x:v>2018Q4</x:v>
      </x:c>
      <x:c r="B368" s="2" t="str">
        <x:v>Communication Services</x:v>
      </x:c>
      <x:c r="C368" s="2" t="str">
        <x:v>通信服务</x:v>
      </x:c>
      <x:c r="D368" s="16" t="n">
        <x:v>2.294</x:v>
      </x:c>
      <x:c r="E368" s="17" t="str">
        <x:v>曲线近似值</x:v>
      </x:c>
      <x:c r="F368" s="18" t="n">
        <x:v>0.0862</x:v>
      </x:c>
      <x:c r="G368" s="18" t="n">
        <x:v>472.664</x:v>
      </x:c>
      <x:c r="H368" s="18" t="n">
        <x:v>646.25</x:v>
      </x:c>
      <x:c r="I368" s="2" t="str">
        <x:v>历史图表；最终状态未核验</x:v>
      </x:c>
    </x:row>
    <x:row r="369" ht="24" customHeight="1">
      <x:c r="A369" s="2" t="str">
        <x:v>2018Q4</x:v>
      </x:c>
      <x:c r="B369" s="2" t="str">
        <x:v>Consumer Discretionary</x:v>
      </x:c>
      <x:c r="C369" s="2" t="str">
        <x:v>可选消费</x:v>
      </x:c>
      <x:c r="D369" s="16" t="n">
        <x:v>9.941</x:v>
      </x:c>
      <x:c r="E369" s="17" t="str">
        <x:v>曲线近似值</x:v>
      </x:c>
      <x:c r="F369" s="18" t="n">
        <x:v>0.2154</x:v>
      </x:c>
      <x:c r="G369" s="18" t="n">
        <x:v>472.664</x:v>
      </x:c>
      <x:c r="H369" s="18" t="n">
        <x:v>936.217</x:v>
      </x:c>
      <x:c r="I369" s="2" t="str">
        <x:v>历史图表；最终状态未核验</x:v>
      </x:c>
    </x:row>
    <x:row r="370" ht="24" customHeight="1">
      <x:c r="A370" s="2" t="str">
        <x:v>2018Q4</x:v>
      </x:c>
      <x:c r="B370" s="2" t="str">
        <x:v>Consumer Staples</x:v>
      </x:c>
      <x:c r="C370" s="2" t="str">
        <x:v>必需消费</x:v>
      </x:c>
      <x:c r="D370" s="16" t="n">
        <x:v>7.555</x:v>
      </x:c>
      <x:c r="E370" s="17" t="str">
        <x:v>曲线近似值</x:v>
      </x:c>
      <x:c r="F370" s="18" t="n">
        <x:v>0.0504</x:v>
      </x:c>
      <x:c r="G370" s="18" t="n">
        <x:v>472.664</x:v>
      </x:c>
      <x:c r="H370" s="18" t="n">
        <x:v>1215.804</x:v>
      </x:c>
      <x:c r="I370" s="2" t="str">
        <x:v>历史图表；最终状态未核验</x:v>
      </x:c>
    </x:row>
    <x:row r="371" ht="24" customHeight="1">
      <x:c r="A371" s="2" t="str">
        <x:v>2018Q4</x:v>
      </x:c>
      <x:c r="B371" s="2" t="str">
        <x:v>Energy</x:v>
      </x:c>
      <x:c r="C371" s="2" t="str">
        <x:v>能源</x:v>
      </x:c>
      <x:c r="D371" s="16" t="n">
        <x:v>7.848</x:v>
      </x:c>
      <x:c r="E371" s="17" t="str">
        <x:v>曲线近似值</x:v>
      </x:c>
      <x:c r="F371" s="18" t="n">
        <x:v>0.2158</x:v>
      </x:c>
      <x:c r="G371" s="18" t="n">
        <x:v>472.664</x:v>
      </x:c>
      <x:c r="H371" s="18" t="n">
        <x:v>1566.94</x:v>
      </x:c>
      <x:c r="I371" s="2" t="str">
        <x:v>历史图表；最终状态未核验</x:v>
      </x:c>
    </x:row>
    <x:row r="372" ht="24" customHeight="1">
      <x:c r="A372" s="2" t="str">
        <x:v>2018Q4</x:v>
      </x:c>
      <x:c r="B372" s="2" t="str">
        <x:v>Financials</x:v>
      </x:c>
      <x:c r="C372" s="2" t="str">
        <x:v>金融</x:v>
      </x:c>
      <x:c r="D372" s="16" t="n">
        <x:v>7.891</x:v>
      </x:c>
      <x:c r="E372" s="17" t="str">
        <x:v>曲线近似值</x:v>
      </x:c>
      <x:c r="F372" s="18" t="n">
        <x:v>0.1007</x:v>
      </x:c>
      <x:c r="G372" s="18" t="n">
        <x:v>472.664</x:v>
      </x:c>
      <x:c r="H372" s="18" t="n">
        <x:v>1898.025</x:v>
      </x:c>
      <x:c r="I372" s="2" t="str">
        <x:v>历史图表；最终状态未核验</x:v>
      </x:c>
    </x:row>
    <x:row r="373" ht="24" customHeight="1">
      <x:c r="A373" s="2" t="str">
        <x:v>2018Q4</x:v>
      </x:c>
      <x:c r="B373" s="2" t="str">
        <x:v>Health Care</x:v>
      </x:c>
      <x:c r="C373" s="2" t="str">
        <x:v>医疗保健</x:v>
      </x:c>
      <x:c r="D373" s="16" t="n">
        <x:v>15.396</x:v>
      </x:c>
      <x:c r="E373" s="17" t="str">
        <x:v>曲线近似值</x:v>
      </x:c>
      <x:c r="F373" s="18" t="n">
        <x:v>0.173</x:v>
      </x:c>
      <x:c r="G373" s="18" t="n">
        <x:v>1432.664</x:v>
      </x:c>
      <x:c r="H373" s="18" t="n">
        <x:v>250.819</x:v>
      </x:c>
      <x:c r="I373" s="2" t="str">
        <x:v>历史图表；最终状态未核验</x:v>
      </x:c>
    </x:row>
    <x:row r="374" ht="24" customHeight="1">
      <x:c r="A374" s="2" t="str">
        <x:v>2018Q4</x:v>
      </x:c>
      <x:c r="B374" s="2" t="str">
        <x:v>Industrials</x:v>
      </x:c>
      <x:c r="C374" s="2" t="str">
        <x:v>工业</x:v>
      </x:c>
      <x:c r="D374" s="16" t="n">
        <x:v>9.193</x:v>
      </x:c>
      <x:c r="E374" s="17" t="str">
        <x:v>曲线近似值</x:v>
      </x:c>
      <x:c r="F374" s="18" t="n">
        <x:v>0.1149</x:v>
      </x:c>
      <x:c r="G374" s="18" t="n">
        <x:v>1432.664</x:v>
      </x:c>
      <x:c r="H374" s="18" t="n">
        <x:v>539.487</x:v>
      </x:c>
      <x:c r="I374" s="2" t="str">
        <x:v>历史图表；最终状态未核验</x:v>
      </x:c>
    </x:row>
    <x:row r="375" ht="24" customHeight="1">
      <x:c r="A375" s="2" t="str">
        <x:v>2018Q4</x:v>
      </x:c>
      <x:c r="B375" s="2" t="str">
        <x:v>Information Technology</x:v>
      </x:c>
      <x:c r="C375" s="2" t="str">
        <x:v>信息技术</x:v>
      </x:c>
      <x:c r="D375" s="16" t="n">
        <x:v>18.962</x:v>
      </x:c>
      <x:c r="E375" s="17" t="str">
        <x:v>曲线近似值</x:v>
      </x:c>
      <x:c r="F375" s="18" t="n">
        <x:v>0.5027</x:v>
      </x:c>
      <x:c r="G375" s="18" t="n">
        <x:v>1432.664</x:v>
      </x:c>
      <x:c r="H375" s="18" t="n">
        <x:v>953.06</x:v>
      </x:c>
      <x:c r="I375" s="2" t="str">
        <x:v>历史图表；最终状态未核验</x:v>
      </x:c>
    </x:row>
    <x:row r="376" ht="24" customHeight="1">
      <x:c r="A376" s="2" t="str">
        <x:v>2018Q4</x:v>
      </x:c>
      <x:c r="B376" s="2" t="str">
        <x:v>Materials</x:v>
      </x:c>
      <x:c r="C376" s="2" t="str">
        <x:v>材料</x:v>
      </x:c>
      <x:c r="D376" s="16" t="n">
        <x:v>4.924</x:v>
      </x:c>
      <x:c r="E376" s="17" t="str">
        <x:v>曲线近似值</x:v>
      </x:c>
      <x:c r="F376" s="18" t="n">
        <x:v>0.0719</x:v>
      </x:c>
      <x:c r="G376" s="18" t="n">
        <x:v>1432.664</x:v>
      </x:c>
      <x:c r="H376" s="18" t="n">
        <x:v>1275.713</x:v>
      </x:c>
      <x:c r="I376" s="2" t="str">
        <x:v>历史图表；最终状态未核验</x:v>
      </x:c>
    </x:row>
    <x:row r="377" ht="24" customHeight="1">
      <x:c r="A377" s="2" t="str">
        <x:v>2018Q4</x:v>
      </x:c>
      <x:c r="B377" s="2" t="str">
        <x:v>Real Estate</x:v>
      </x:c>
      <x:c r="C377" s="2" t="str">
        <x:v>房地产</x:v>
      </x:c>
      <x:c r="D377" s="16" t="n">
        <x:v>2.38</x:v>
      </x:c>
      <x:c r="E377" s="17" t="str">
        <x:v>曲线近似值</x:v>
      </x:c>
      <x:c r="F377" s="18" t="n">
        <x:v>0.0115</x:v>
      </x:c>
      <x:c r="G377" s="18" t="n">
        <x:v>1432.664</x:v>
      </x:c>
      <x:c r="H377" s="18" t="n">
        <x:v>1619.986</x:v>
      </x:c>
      <x:c r="I377" s="2" t="str">
        <x:v>历史图表；最终状态未核验</x:v>
      </x:c>
    </x:row>
    <x:row r="378" ht="24" customHeight="1">
      <x:c r="A378" s="2" t="str">
        <x:v>2018Q4</x:v>
      </x:c>
      <x:c r="B378" s="2" t="str">
        <x:v>Utilities</x:v>
      </x:c>
      <x:c r="C378" s="2" t="str">
        <x:v>公用事业</x:v>
      </x:c>
      <x:c r="D378" s="16" t="n">
        <x:v>2.718</x:v>
      </x:c>
      <x:c r="E378" s="17" t="str">
        <x:v>曲线近似值</x:v>
      </x:c>
      <x:c r="F378" s="18" t="n">
        <x:v>0.036</x:v>
      </x:c>
      <x:c r="G378" s="18" t="n">
        <x:v>1432.664</x:v>
      </x:c>
      <x:c r="H378" s="18" t="n">
        <x:v>1975.071</x:v>
      </x:c>
      <x:c r="I378" s="2" t="str">
        <x:v>历史图表；最终状态未核验</x:v>
      </x:c>
    </x:row>
    <x:row r="379" ht="24" customHeight="1">
      <x:c r="A379" s="2" t="str">
        <x:v>2019Q1</x:v>
      </x:c>
      <x:c r="B379" s="2" t="str">
        <x:v>Communication Services</x:v>
      </x:c>
      <x:c r="C379" s="2" t="str">
        <x:v>通信服务</x:v>
      </x:c>
      <x:c r="D379" s="16" t="n">
        <x:v>1.903</x:v>
      </x:c>
      <x:c r="E379" s="17" t="str">
        <x:v>曲线近似值</x:v>
      </x:c>
      <x:c r="F379" s="18" t="n">
        <x:v>0.0862</x:v>
      </x:c>
      <x:c r="G379" s="18" t="n">
        <x:v>484.596</x:v>
      </x:c>
      <x:c r="H379" s="18" t="n">
        <x:v>655.327</x:v>
      </x:c>
      <x:c r="I379" s="2" t="str">
        <x:v>历史图表；最终状态未核验</x:v>
      </x:c>
    </x:row>
    <x:row r="380" ht="24" customHeight="1">
      <x:c r="A380" s="2" t="str">
        <x:v>2019Q1</x:v>
      </x:c>
      <x:c r="B380" s="2" t="str">
        <x:v>Consumer Discretionary</x:v>
      </x:c>
      <x:c r="C380" s="2" t="str">
        <x:v>可选消费</x:v>
      </x:c>
      <x:c r="D380" s="16" t="n">
        <x:v>9.106</x:v>
      </x:c>
      <x:c r="E380" s="17" t="str">
        <x:v>曲线近似值</x:v>
      </x:c>
      <x:c r="F380" s="18" t="n">
        <x:v>0.2154</x:v>
      </x:c>
      <x:c r="G380" s="18" t="n">
        <x:v>484.596</x:v>
      </x:c>
      <x:c r="H380" s="18" t="n">
        <x:v>943.962</x:v>
      </x:c>
      <x:c r="I380" s="2" t="str">
        <x:v>历史图表；最终状态未核验</x:v>
      </x:c>
    </x:row>
    <x:row r="381" ht="24" customHeight="1">
      <x:c r="A381" s="2" t="str">
        <x:v>2019Q1</x:v>
      </x:c>
      <x:c r="B381" s="2" t="str">
        <x:v>Consumer Staples</x:v>
      </x:c>
      <x:c r="C381" s="2" t="str">
        <x:v>必需消费</x:v>
      </x:c>
      <x:c r="D381" s="16" t="n">
        <x:v>6.84</x:v>
      </x:c>
      <x:c r="E381" s="17" t="str">
        <x:v>曲线近似值</x:v>
      </x:c>
      <x:c r="F381" s="18" t="n">
        <x:v>0.0504</x:v>
      </x:c>
      <x:c r="G381" s="18" t="n">
        <x:v>484.596</x:v>
      </x:c>
      <x:c r="H381" s="18" t="n">
        <x:v>1244.206</x:v>
      </x:c>
      <x:c r="I381" s="2" t="str">
        <x:v>历史图表；最终状态未核验</x:v>
      </x:c>
    </x:row>
    <x:row r="382" ht="24" customHeight="1">
      <x:c r="A382" s="2" t="str">
        <x:v>2019Q1</x:v>
      </x:c>
      <x:c r="B382" s="2" t="str">
        <x:v>Energy</x:v>
      </x:c>
      <x:c r="C382" s="2" t="str">
        <x:v>能源</x:v>
      </x:c>
      <x:c r="D382" s="16" t="n">
        <x:v>4.374</x:v>
      </x:c>
      <x:c r="E382" s="17" t="str">
        <x:v>曲线近似值</x:v>
      </x:c>
      <x:c r="F382" s="18" t="n">
        <x:v>0.2158</x:v>
      </x:c>
      <x:c r="G382" s="18" t="n">
        <x:v>484.596</x:v>
      </x:c>
      <x:c r="H382" s="18" t="n">
        <x:v>1599.135</x:v>
      </x:c>
      <x:c r="I382" s="2" t="str">
        <x:v>历史图表；最终状态未核验</x:v>
      </x:c>
    </x:row>
    <x:row r="383" ht="24" customHeight="1">
      <x:c r="A383" s="2" t="str">
        <x:v>2019Q1</x:v>
      </x:c>
      <x:c r="B383" s="2" t="str">
        <x:v>Financials</x:v>
      </x:c>
      <x:c r="C383" s="2" t="str">
        <x:v>金融</x:v>
      </x:c>
      <x:c r="D383" s="16" t="n">
        <x:v>9.206</x:v>
      </x:c>
      <x:c r="E383" s="17" t="str">
        <x:v>曲线近似值</x:v>
      </x:c>
      <x:c r="F383" s="18" t="n">
        <x:v>0.1007</x:v>
      </x:c>
      <x:c r="G383" s="18" t="n">
        <x:v>484.596</x:v>
      </x:c>
      <x:c r="H383" s="18" t="n">
        <x:v>1871.916</x:v>
      </x:c>
      <x:c r="I383" s="2" t="str">
        <x:v>历史图表；最终状态未核验</x:v>
      </x:c>
    </x:row>
    <x:row r="384" ht="24" customHeight="1">
      <x:c r="A384" s="2" t="str">
        <x:v>2019Q1</x:v>
      </x:c>
      <x:c r="B384" s="2" t="str">
        <x:v>Health Care</x:v>
      </x:c>
      <x:c r="C384" s="2" t="str">
        <x:v>医疗保健</x:v>
      </x:c>
      <x:c r="D384" s="16" t="n">
        <x:v>16.612</x:v>
      </x:c>
      <x:c r="E384" s="17" t="str">
        <x:v>曲线近似值</x:v>
      </x:c>
      <x:c r="F384" s="18" t="n">
        <x:v>0.173</x:v>
      </x:c>
      <x:c r="G384" s="18" t="n">
        <x:v>1444.596</x:v>
      </x:c>
      <x:c r="H384" s="18" t="n">
        <x:v>236.764</x:v>
      </x:c>
      <x:c r="I384" s="2" t="str">
        <x:v>历史图表；最终状态未核验</x:v>
      </x:c>
    </x:row>
    <x:row r="385" ht="24" customHeight="1">
      <x:c r="A385" s="2" t="str">
        <x:v>2019Q1</x:v>
      </x:c>
      <x:c r="B385" s="2" t="str">
        <x:v>Industrials</x:v>
      </x:c>
      <x:c r="C385" s="2" t="str">
        <x:v>工业</x:v>
      </x:c>
      <x:c r="D385" s="16" t="n">
        <x:v>8.424</x:v>
      </x:c>
      <x:c r="E385" s="17" t="str">
        <x:v>曲线近似值</x:v>
      </x:c>
      <x:c r="F385" s="18" t="n">
        <x:v>0.1149</x:v>
      </x:c>
      <x:c r="G385" s="18" t="n">
        <x:v>1444.596</x:v>
      </x:c>
      <x:c r="H385" s="18" t="n">
        <x:v>552.861</x:v>
      </x:c>
      <x:c r="I385" s="2" t="str">
        <x:v>历史图表；最终状态未核验</x:v>
      </x:c>
    </x:row>
    <x:row r="386" ht="24" customHeight="1">
      <x:c r="A386" s="2" t="str">
        <x:v>2019Q1</x:v>
      </x:c>
      <x:c r="B386" s="2" t="str">
        <x:v>Information Technology</x:v>
      </x:c>
      <x:c r="C386" s="2" t="str">
        <x:v>信息技术</x:v>
      </x:c>
      <x:c r="D386" s="16" t="n">
        <x:v>15.352</x:v>
      </x:c>
      <x:c r="E386" s="17" t="str">
        <x:v>曲线近似值</x:v>
      </x:c>
      <x:c r="F386" s="18" t="n">
        <x:v>0.5027</x:v>
      </x:c>
      <x:c r="G386" s="18" t="n">
        <x:v>1444.596</x:v>
      </x:c>
      <x:c r="H386" s="18" t="n">
        <x:v>967.421</x:v>
      </x:c>
      <x:c r="I386" s="2" t="str">
        <x:v>历史图表；最终状态未核验</x:v>
      </x:c>
    </x:row>
    <x:row r="387" ht="24" customHeight="1">
      <x:c r="A387" s="2" t="str">
        <x:v>2019Q1</x:v>
      </x:c>
      <x:c r="B387" s="2" t="str">
        <x:v>Materials</x:v>
      </x:c>
      <x:c r="C387" s="2" t="str">
        <x:v>材料</x:v>
      </x:c>
      <x:c r="D387" s="16" t="n">
        <x:v>4.564</x:v>
      </x:c>
      <x:c r="E387" s="17" t="str">
        <x:v>曲线近似值</x:v>
      </x:c>
      <x:c r="F387" s="18" t="n">
        <x:v>0.0719</x:v>
      </x:c>
      <x:c r="G387" s="18" t="n">
        <x:v>1444.596</x:v>
      </x:c>
      <x:c r="H387" s="18" t="n">
        <x:v>1285.712</x:v>
      </x:c>
      <x:c r="I387" s="2" t="str">
        <x:v>历史图表；最终状态未核验</x:v>
      </x:c>
    </x:row>
    <x:row r="388" ht="24" customHeight="1">
      <x:c r="A388" s="2" t="str">
        <x:v>2019Q1</x:v>
      </x:c>
      <x:c r="B388" s="2" t="str">
        <x:v>Real Estate</x:v>
      </x:c>
      <x:c r="C388" s="2" t="str">
        <x:v>房地产</x:v>
      </x:c>
      <x:c r="D388" s="16" t="n">
        <x:v>2.366</x:v>
      </x:c>
      <x:c r="E388" s="17" t="str">
        <x:v>曲线近似值</x:v>
      </x:c>
      <x:c r="F388" s="18" t="n">
        <x:v>0.0115</x:v>
      </x:c>
      <x:c r="G388" s="18" t="n">
        <x:v>1444.596</x:v>
      </x:c>
      <x:c r="H388" s="18" t="n">
        <x:v>1622.4</x:v>
      </x:c>
      <x:c r="I388" s="2" t="str">
        <x:v>历史图表；最终状态未核验</x:v>
      </x:c>
    </x:row>
    <x:row r="389" ht="24" customHeight="1">
      <x:c r="A389" s="2" t="str">
        <x:v>2019Q1</x:v>
      </x:c>
      <x:c r="B389" s="2" t="str">
        <x:v>Utilities</x:v>
      </x:c>
      <x:c r="C389" s="2" t="str">
        <x:v>公用事业</x:v>
      </x:c>
      <x:c r="D389" s="16" t="n">
        <x:v>4.106</x:v>
      </x:c>
      <x:c r="E389" s="17" t="str">
        <x:v>曲线近似值</x:v>
      </x:c>
      <x:c r="F389" s="18" t="n">
        <x:v>0.036</x:v>
      </x:c>
      <x:c r="G389" s="18" t="n">
        <x:v>1444.596</x:v>
      </x:c>
      <x:c r="H389" s="18" t="n">
        <x:v>1897.897</x:v>
      </x:c>
      <x:c r="I389" s="2" t="str">
        <x:v>历史图表；最终状态未核验</x:v>
      </x:c>
    </x:row>
    <x:row r="390" ht="24" customHeight="1">
      <x:c r="A390" s="2" t="str">
        <x:v>2019Q2</x:v>
      </x:c>
      <x:c r="B390" s="2" t="str">
        <x:v>Communication Services</x:v>
      </x:c>
      <x:c r="C390" s="2" t="str">
        <x:v>通信服务</x:v>
      </x:c>
      <x:c r="D390" s="16" t="n">
        <x:v>2.181</x:v>
      </x:c>
      <x:c r="E390" s="17" t="str">
        <x:v>曲线近似值</x:v>
      </x:c>
      <x:c r="F390" s="18" t="n">
        <x:v>0.0862</x:v>
      </x:c>
      <x:c r="G390" s="18" t="n">
        <x:v>496.619</x:v>
      </x:c>
      <x:c r="H390" s="18" t="n">
        <x:v>648.877</x:v>
      </x:c>
      <x:c r="I390" s="2" t="str">
        <x:v>历史图表；最终状态未核验</x:v>
      </x:c>
    </x:row>
    <x:row r="391" ht="24" customHeight="1">
      <x:c r="A391" s="2" t="str">
        <x:v>2019Q2</x:v>
      </x:c>
      <x:c r="B391" s="2" t="str">
        <x:v>Consumer Discretionary</x:v>
      </x:c>
      <x:c r="C391" s="2" t="str">
        <x:v>可选消费</x:v>
      </x:c>
      <x:c r="D391" s="16" t="n">
        <x:v>10.35</x:v>
      </x:c>
      <x:c r="E391" s="17" t="str">
        <x:v>曲线近似值</x:v>
      </x:c>
      <x:c r="F391" s="18" t="n">
        <x:v>0.2154</x:v>
      </x:c>
      <x:c r="G391" s="18" t="n">
        <x:v>496.619</x:v>
      </x:c>
      <x:c r="H391" s="18" t="n">
        <x:v>932.413</x:v>
      </x:c>
      <x:c r="I391" s="2" t="str">
        <x:v>历史图表；最终状态未核验</x:v>
      </x:c>
    </x:row>
    <x:row r="392" ht="24" customHeight="1">
      <x:c r="A392" s="2" t="str">
        <x:v>2019Q2</x:v>
      </x:c>
      <x:c r="B392" s="2" t="str">
        <x:v>Consumer Staples</x:v>
      </x:c>
      <x:c r="C392" s="2" t="str">
        <x:v>必需消费</x:v>
      </x:c>
      <x:c r="D392" s="16" t="n">
        <x:v>7.689</x:v>
      </x:c>
      <x:c r="E392" s="17" t="str">
        <x:v>曲线近似值</x:v>
      </x:c>
      <x:c r="F392" s="18" t="n">
        <x:v>0.0504</x:v>
      </x:c>
      <x:c r="G392" s="18" t="n">
        <x:v>496.619</x:v>
      </x:c>
      <x:c r="H392" s="18" t="n">
        <x:v>1210.496</x:v>
      </x:c>
      <x:c r="I392" s="2" t="str">
        <x:v>历史图表；最终状态未核验</x:v>
      </x:c>
    </x:row>
    <x:row r="393" ht="24" customHeight="1">
      <x:c r="A393" s="2" t="str">
        <x:v>2019Q2</x:v>
      </x:c>
      <x:c r="B393" s="2" t="str">
        <x:v>Energy</x:v>
      </x:c>
      <x:c r="C393" s="2" t="str">
        <x:v>能源</x:v>
      </x:c>
      <x:c r="D393" s="16" t="n">
        <x:v>6.197</x:v>
      </x:c>
      <x:c r="E393" s="17" t="str">
        <x:v>曲线近似值</x:v>
      </x:c>
      <x:c r="F393" s="18" t="n">
        <x:v>0.2158</x:v>
      </x:c>
      <x:c r="G393" s="18" t="n">
        <x:v>496.619</x:v>
      </x:c>
      <x:c r="H393" s="18" t="n">
        <x:v>1582.244</x:v>
      </x:c>
      <x:c r="I393" s="2" t="str">
        <x:v>历史图表；最终状态未核验</x:v>
      </x:c>
    </x:row>
    <x:row r="394" ht="24" customHeight="1">
      <x:c r="A394" s="2" t="str">
        <x:v>2019Q2</x:v>
      </x:c>
      <x:c r="B394" s="2" t="str">
        <x:v>Financials</x:v>
      </x:c>
      <x:c r="C394" s="2" t="str">
        <x:v>金融</x:v>
      </x:c>
      <x:c r="D394" s="16" t="n">
        <x:v>9.252</x:v>
      </x:c>
      <x:c r="E394" s="17" t="str">
        <x:v>曲线近似值</x:v>
      </x:c>
      <x:c r="F394" s="18" t="n">
        <x:v>0.1007</x:v>
      </x:c>
      <x:c r="G394" s="18" t="n">
        <x:v>496.619</x:v>
      </x:c>
      <x:c r="H394" s="18" t="n">
        <x:v>1870.997</x:v>
      </x:c>
      <x:c r="I394" s="2" t="str">
        <x:v>历史图表；最终状态未核验</x:v>
      </x:c>
    </x:row>
    <x:row r="395" ht="24" customHeight="1">
      <x:c r="A395" s="2" t="str">
        <x:v>2019Q2</x:v>
      </x:c>
      <x:c r="B395" s="2" t="str">
        <x:v>Health Care</x:v>
      </x:c>
      <x:c r="C395" s="2" t="str">
        <x:v>医疗保健</x:v>
      </x:c>
      <x:c r="D395" s="16" t="n">
        <x:v>17.855</x:v>
      </x:c>
      <x:c r="E395" s="17" t="str">
        <x:v>曲线近似值</x:v>
      </x:c>
      <x:c r="F395" s="18" t="n">
        <x:v>0.173</x:v>
      </x:c>
      <x:c r="G395" s="18" t="n">
        <x:v>1456.619</x:v>
      </x:c>
      <x:c r="H395" s="18" t="n">
        <x:v>222.393</x:v>
      </x:c>
      <x:c r="I395" s="2" t="str">
        <x:v>历史图表；最终状态未核验</x:v>
      </x:c>
    </x:row>
    <x:row r="396" ht="24" customHeight="1">
      <x:c r="A396" s="2" t="str">
        <x:v>2019Q2</x:v>
      </x:c>
      <x:c r="B396" s="2" t="str">
        <x:v>Industrials</x:v>
      </x:c>
      <x:c r="C396" s="2" t="str">
        <x:v>工业</x:v>
      </x:c>
      <x:c r="D396" s="16" t="n">
        <x:v>8.67</x:v>
      </x:c>
      <x:c r="E396" s="17" t="str">
        <x:v>曲线近似值</x:v>
      </x:c>
      <x:c r="F396" s="18" t="n">
        <x:v>0.1149</x:v>
      </x:c>
      <x:c r="G396" s="18" t="n">
        <x:v>1456.619</x:v>
      </x:c>
      <x:c r="H396" s="18" t="n">
        <x:v>548.585</x:v>
      </x:c>
      <x:c r="I396" s="2" t="str">
        <x:v>历史图表；最终状态未核验</x:v>
      </x:c>
    </x:row>
    <x:row r="397" ht="24" customHeight="1">
      <x:c r="A397" s="2" t="str">
        <x:v>2019Q2</x:v>
      </x:c>
      <x:c r="B397" s="2" t="str">
        <x:v>Information Technology</x:v>
      </x:c>
      <x:c r="C397" s="2" t="str">
        <x:v>信息技术</x:v>
      </x:c>
      <x:c r="D397" s="16" t="n">
        <x:v>16.001</x:v>
      </x:c>
      <x:c r="E397" s="17" t="str">
        <x:v>曲线近似值</x:v>
      </x:c>
      <x:c r="F397" s="18" t="n">
        <x:v>0.5027</x:v>
      </x:c>
      <x:c r="G397" s="18" t="n">
        <x:v>1456.619</x:v>
      </x:c>
      <x:c r="H397" s="18" t="n">
        <x:v>964.839</x:v>
      </x:c>
      <x:c r="I397" s="2" t="str">
        <x:v>历史图表；最终状态未核验</x:v>
      </x:c>
    </x:row>
    <x:row r="398" ht="24" customHeight="1">
      <x:c r="A398" s="2" t="str">
        <x:v>2019Q2</x:v>
      </x:c>
      <x:c r="B398" s="2" t="str">
        <x:v>Materials</x:v>
      </x:c>
      <x:c r="C398" s="2" t="str">
        <x:v>材料</x:v>
      </x:c>
      <x:c r="D398" s="16" t="n">
        <x:v>4.227</x:v>
      </x:c>
      <x:c r="E398" s="17" t="str">
        <x:v>曲线近似值</x:v>
      </x:c>
      <x:c r="F398" s="18" t="n">
        <x:v>0.0719</x:v>
      </x:c>
      <x:c r="G398" s="18" t="n">
        <x:v>1456.619</x:v>
      </x:c>
      <x:c r="H398" s="18" t="n">
        <x:v>1295.101</x:v>
      </x:c>
      <x:c r="I398" s="2" t="str">
        <x:v>历史图表；最终状态未核验</x:v>
      </x:c>
    </x:row>
    <x:row r="399" ht="24" customHeight="1">
      <x:c r="A399" s="2" t="str">
        <x:v>2019Q2</x:v>
      </x:c>
      <x:c r="B399" s="2" t="str">
        <x:v>Real Estate</x:v>
      </x:c>
      <x:c r="C399" s="2" t="str">
        <x:v>房地产</x:v>
      </x:c>
      <x:c r="D399" s="16" t="n">
        <x:v>2.434</x:v>
      </x:c>
      <x:c r="E399" s="17" t="str">
        <x:v>曲线近似值</x:v>
      </x:c>
      <x:c r="F399" s="18" t="n">
        <x:v>0.0115</x:v>
      </x:c>
      <x:c r="G399" s="18" t="n">
        <x:v>1456.619</x:v>
      </x:c>
      <x:c r="H399" s="18" t="n">
        <x:v>1610.65</x:v>
      </x:c>
      <x:c r="I399" s="2" t="str">
        <x:v>历史图表；最终状态未核验</x:v>
      </x:c>
    </x:row>
    <x:row r="400" ht="24" customHeight="1">
      <x:c r="A400" s="2" t="str">
        <x:v>2019Q2</x:v>
      </x:c>
      <x:c r="B400" s="2" t="str">
        <x:v>Utilities</x:v>
      </x:c>
      <x:c r="C400" s="2" t="str">
        <x:v>公用事业</x:v>
      </x:c>
      <x:c r="D400" s="16" t="n">
        <x:v>3.446</x:v>
      </x:c>
      <x:c r="E400" s="17" t="str">
        <x:v>曲线近似值</x:v>
      </x:c>
      <x:c r="F400" s="18" t="n">
        <x:v>0.036</x:v>
      </x:c>
      <x:c r="G400" s="18" t="n">
        <x:v>1456.619</x:v>
      </x:c>
      <x:c r="H400" s="18" t="n">
        <x:v>1934.619</x:v>
      </x:c>
      <x:c r="I400" s="2" t="str">
        <x:v>历史图表；最终状态未核验</x:v>
      </x:c>
    </x:row>
    <x:row r="401" ht="24" customHeight="1">
      <x:c r="A401" s="2" t="str">
        <x:v>2019Q3</x:v>
      </x:c>
      <x:c r="B401" s="2" t="str">
        <x:v>Communication Services</x:v>
      </x:c>
      <x:c r="C401" s="2" t="str">
        <x:v>通信服务</x:v>
      </x:c>
      <x:c r="D401" s="16" t="n">
        <x:v>2.13</x:v>
      </x:c>
      <x:c r="E401" s="17" t="str">
        <x:v>曲线近似值</x:v>
      </x:c>
      <x:c r="F401" s="18" t="n">
        <x:v>0.0862</x:v>
      </x:c>
      <x:c r="G401" s="18" t="n">
        <x:v>508.529</x:v>
      </x:c>
      <x:c r="H401" s="18" t="n">
        <x:v>650.059</x:v>
      </x:c>
      <x:c r="I401" s="2" t="str">
        <x:v>历史图表；最终状态未核验</x:v>
      </x:c>
    </x:row>
    <x:row r="402" ht="24" customHeight="1">
      <x:c r="A402" s="2" t="str">
        <x:v>2019Q3</x:v>
      </x:c>
      <x:c r="B402" s="2" t="str">
        <x:v>Consumer Discretionary</x:v>
      </x:c>
      <x:c r="C402" s="2" t="str">
        <x:v>可选消费</x:v>
      </x:c>
      <x:c r="D402" s="16" t="n">
        <x:v>10.94</x:v>
      </x:c>
      <x:c r="E402" s="17" t="str">
        <x:v>曲线近似值</x:v>
      </x:c>
      <x:c r="F402" s="18" t="n">
        <x:v>0.2154</x:v>
      </x:c>
      <x:c r="G402" s="18" t="n">
        <x:v>508.529</x:v>
      </x:c>
      <x:c r="H402" s="18" t="n">
        <x:v>926.936</x:v>
      </x:c>
      <x:c r="I402" s="2" t="str">
        <x:v>历史图表；最终状态未核验</x:v>
      </x:c>
    </x:row>
    <x:row r="403" ht="24" customHeight="1">
      <x:c r="A403" s="2" t="str">
        <x:v>2019Q3</x:v>
      </x:c>
      <x:c r="B403" s="2" t="str">
        <x:v>Consumer Staples</x:v>
      </x:c>
      <x:c r="C403" s="2" t="str">
        <x:v>必需消费</x:v>
      </x:c>
      <x:c r="D403" s="16" t="n">
        <x:v>8.082</x:v>
      </x:c>
      <x:c r="E403" s="17" t="str">
        <x:v>曲线近似值</x:v>
      </x:c>
      <x:c r="F403" s="18" t="n">
        <x:v>0.0504</x:v>
      </x:c>
      <x:c r="G403" s="18" t="n">
        <x:v>508.529</x:v>
      </x:c>
      <x:c r="H403" s="18" t="n">
        <x:v>1194.879</x:v>
      </x:c>
      <x:c r="I403" s="2" t="str">
        <x:v>历史图表；最终状态未核验</x:v>
      </x:c>
    </x:row>
    <x:row r="404" ht="24" customHeight="1">
      <x:c r="A404" s="2" t="str">
        <x:v>2019Q3</x:v>
      </x:c>
      <x:c r="B404" s="2" t="str">
        <x:v>Energy</x:v>
      </x:c>
      <x:c r="C404" s="2" t="str">
        <x:v>能源</x:v>
      </x:c>
      <x:c r="D404" s="16" t="n">
        <x:v>5.345</x:v>
      </x:c>
      <x:c r="E404" s="17" t="str">
        <x:v>曲线近似值</x:v>
      </x:c>
      <x:c r="F404" s="18" t="n">
        <x:v>0.2158</x:v>
      </x:c>
      <x:c r="G404" s="18" t="n">
        <x:v>508.529</x:v>
      </x:c>
      <x:c r="H404" s="18" t="n">
        <x:v>1590.135</x:v>
      </x:c>
      <x:c r="I404" s="2" t="str">
        <x:v>历史图表；最终状态未核验</x:v>
      </x:c>
    </x:row>
    <x:row r="405" ht="24" customHeight="1">
      <x:c r="A405" s="2" t="str">
        <x:v>2019Q3</x:v>
      </x:c>
      <x:c r="B405" s="2" t="str">
        <x:v>Financials</x:v>
      </x:c>
      <x:c r="C405" s="2" t="str">
        <x:v>金融</x:v>
      </x:c>
      <x:c r="D405" s="16" t="n">
        <x:v>8.805</x:v>
      </x:c>
      <x:c r="E405" s="17" t="str">
        <x:v>曲线近似值</x:v>
      </x:c>
      <x:c r="F405" s="18" t="n">
        <x:v>0.1007</x:v>
      </x:c>
      <x:c r="G405" s="18" t="n">
        <x:v>508.529</x:v>
      </x:c>
      <x:c r="H405" s="18" t="n">
        <x:v>1879.871</x:v>
      </x:c>
      <x:c r="I405" s="2" t="str">
        <x:v>历史图表；最终状态未核验</x:v>
      </x:c>
    </x:row>
    <x:row r="406" ht="24" customHeight="1">
      <x:c r="A406" s="2" t="str">
        <x:v>2019Q3</x:v>
      </x:c>
      <x:c r="B406" s="2" t="str">
        <x:v>Health Care</x:v>
      </x:c>
      <x:c r="C406" s="2" t="str">
        <x:v>医疗保健</x:v>
      </x:c>
      <x:c r="D406" s="16" t="n">
        <x:v>17.174</x:v>
      </x:c>
      <x:c r="E406" s="17" t="str">
        <x:v>曲线近似值</x:v>
      </x:c>
      <x:c r="F406" s="18" t="n">
        <x:v>0.173</x:v>
      </x:c>
      <x:c r="G406" s="18" t="n">
        <x:v>1468.529</x:v>
      </x:c>
      <x:c r="H406" s="18" t="n">
        <x:v>230.271</x:v>
      </x:c>
      <x:c r="I406" s="2" t="str">
        <x:v>历史图表；最终状态未核验</x:v>
      </x:c>
    </x:row>
    <x:row r="407" ht="24" customHeight="1">
      <x:c r="A407" s="2" t="str">
        <x:v>2019Q3</x:v>
      </x:c>
      <x:c r="B407" s="2" t="str">
        <x:v>Industrials</x:v>
      </x:c>
      <x:c r="C407" s="2" t="str">
        <x:v>工业</x:v>
      </x:c>
      <x:c r="D407" s="16" t="n">
        <x:v>9.623</x:v>
      </x:c>
      <x:c r="E407" s="17" t="str">
        <x:v>曲线近似值</x:v>
      </x:c>
      <x:c r="F407" s="18" t="n">
        <x:v>0.1149</x:v>
      </x:c>
      <x:c r="G407" s="18" t="n">
        <x:v>1468.529</x:v>
      </x:c>
      <x:c r="H407" s="18" t="n">
        <x:v>532.001</x:v>
      </x:c>
      <x:c r="I407" s="2" t="str">
        <x:v>历史图表；最终状态未核验</x:v>
      </x:c>
    </x:row>
    <x:row r="408" ht="24" customHeight="1">
      <x:c r="A408" s="2" t="str">
        <x:v>2019Q3</x:v>
      </x:c>
      <x:c r="B408" s="2" t="str">
        <x:v>Information Technology</x:v>
      </x:c>
      <x:c r="C408" s="2" t="str">
        <x:v>信息技术</x:v>
      </x:c>
      <x:c r="D408" s="16" t="n">
        <x:v>17.347</x:v>
      </x:c>
      <x:c r="E408" s="17" t="str">
        <x:v>曲线近似值</x:v>
      </x:c>
      <x:c r="F408" s="18" t="n">
        <x:v>0.5027</x:v>
      </x:c>
      <x:c r="G408" s="18" t="n">
        <x:v>1468.529</x:v>
      </x:c>
      <x:c r="H408" s="18" t="n">
        <x:v>959.484</x:v>
      </x:c>
      <x:c r="I408" s="2" t="str">
        <x:v>历史图表；最终状态未核验</x:v>
      </x:c>
    </x:row>
    <x:row r="409" ht="24" customHeight="1">
      <x:c r="A409" s="2" t="str">
        <x:v>2019Q3</x:v>
      </x:c>
      <x:c r="B409" s="2" t="str">
        <x:v>Materials</x:v>
      </x:c>
      <x:c r="C409" s="2" t="str">
        <x:v>材料</x:v>
      </x:c>
      <x:c r="D409" s="16" t="n">
        <x:v>4.231</x:v>
      </x:c>
      <x:c r="E409" s="17" t="str">
        <x:v>曲线近似值</x:v>
      </x:c>
      <x:c r="F409" s="18" t="n">
        <x:v>0.0719</x:v>
      </x:c>
      <x:c r="G409" s="18" t="n">
        <x:v>1468.529</x:v>
      </x:c>
      <x:c r="H409" s="18" t="n">
        <x:v>1294.967</x:v>
      </x:c>
      <x:c r="I409" s="2" t="str">
        <x:v>历史图表；最终状态未核验</x:v>
      </x:c>
    </x:row>
    <x:row r="410" ht="24" customHeight="1">
      <x:c r="A410" s="2" t="str">
        <x:v>2019Q3</x:v>
      </x:c>
      <x:c r="B410" s="2" t="str">
        <x:v>Real Estate</x:v>
      </x:c>
      <x:c r="C410" s="2" t="str">
        <x:v>房地产</x:v>
      </x:c>
      <x:c r="D410" s="16" t="n">
        <x:v>2.478</x:v>
      </x:c>
      <x:c r="E410" s="17" t="str">
        <x:v>曲线近似值</x:v>
      </x:c>
      <x:c r="F410" s="18" t="n">
        <x:v>0.0115</x:v>
      </x:c>
      <x:c r="G410" s="18" t="n">
        <x:v>1468.529</x:v>
      </x:c>
      <x:c r="H410" s="18" t="n">
        <x:v>1603.032</x:v>
      </x:c>
      <x:c r="I410" s="2" t="str">
        <x:v>历史图表；最终状态未核验</x:v>
      </x:c>
    </x:row>
    <x:row r="411" ht="24" customHeight="1">
      <x:c r="A411" s="2" t="str">
        <x:v>2019Q3</x:v>
      </x:c>
      <x:c r="B411" s="2" t="str">
        <x:v>Utilities</x:v>
      </x:c>
      <x:c r="C411" s="2" t="str">
        <x:v>公用事业</x:v>
      </x:c>
      <x:c r="D411" s="16" t="n">
        <x:v>5.2</x:v>
      </x:c>
      <x:c r="E411" s="17" t="str">
        <x:v>曲线近似值</x:v>
      </x:c>
      <x:c r="F411" s="18" t="n">
        <x:v>0.036</x:v>
      </x:c>
      <x:c r="G411" s="18" t="n">
        <x:v>1468.529</x:v>
      </x:c>
      <x:c r="H411" s="18" t="n">
        <x:v>1837.087</x:v>
      </x:c>
      <x:c r="I411" s="2" t="str">
        <x:v>历史图表；最终状态未核验</x:v>
      </x:c>
    </x:row>
    <x:row r="412" ht="24" customHeight="1">
      <x:c r="A412" s="2" t="str">
        <x:v>2019Q4</x:v>
      </x:c>
      <x:c r="B412" s="2" t="str">
        <x:v>Communication Services</x:v>
      </x:c>
      <x:c r="C412" s="2" t="str">
        <x:v>通信服务</x:v>
      </x:c>
      <x:c r="D412" s="16" t="n">
        <x:v>2.511</x:v>
      </x:c>
      <x:c r="E412" s="17" t="str">
        <x:v>曲线近似值</x:v>
      </x:c>
      <x:c r="F412" s="18" t="n">
        <x:v>0.0862</x:v>
      </x:c>
      <x:c r="G412" s="18" t="n">
        <x:v>520.598</x:v>
      </x:c>
      <x:c r="H412" s="18" t="n">
        <x:v>641.218</x:v>
      </x:c>
      <x:c r="I412" s="2" t="str">
        <x:v>历史图表；最终状态未核验</x:v>
      </x:c>
    </x:row>
    <x:row r="413" ht="24" customHeight="1">
      <x:c r="A413" s="2" t="str">
        <x:v>2019Q4</x:v>
      </x:c>
      <x:c r="B413" s="2" t="str">
        <x:v>Consumer Discretionary</x:v>
      </x:c>
      <x:c r="C413" s="2" t="str">
        <x:v>可选消费</x:v>
      </x:c>
      <x:c r="D413" s="16" t="n">
        <x:v>10.364</x:v>
      </x:c>
      <x:c r="E413" s="17" t="str">
        <x:v>曲线近似值</x:v>
      </x:c>
      <x:c r="F413" s="18" t="n">
        <x:v>0.2154</x:v>
      </x:c>
      <x:c r="G413" s="18" t="n">
        <x:v>520.598</x:v>
      </x:c>
      <x:c r="H413" s="18" t="n">
        <x:v>932.284</x:v>
      </x:c>
      <x:c r="I413" s="2" t="str">
        <x:v>历史图表；最终状态未核验</x:v>
      </x:c>
    </x:row>
    <x:row r="414" ht="24" customHeight="1">
      <x:c r="A414" s="2" t="str">
        <x:v>2019Q4</x:v>
      </x:c>
      <x:c r="B414" s="2" t="str">
        <x:v>Consumer Staples</x:v>
      </x:c>
      <x:c r="C414" s="2" t="str">
        <x:v>必需消费</x:v>
      </x:c>
      <x:c r="D414" s="16" t="n">
        <x:v>7.69</x:v>
      </x:c>
      <x:c r="E414" s="17" t="str">
        <x:v>曲线近似值</x:v>
      </x:c>
      <x:c r="F414" s="18" t="n">
        <x:v>0.0504</x:v>
      </x:c>
      <x:c r="G414" s="18" t="n">
        <x:v>520.598</x:v>
      </x:c>
      <x:c r="H414" s="18" t="n">
        <x:v>1210.457</x:v>
      </x:c>
      <x:c r="I414" s="2" t="str">
        <x:v>历史图表；最终状态未核验</x:v>
      </x:c>
    </x:row>
    <x:row r="415" ht="24" customHeight="1">
      <x:c r="A415" s="2" t="str">
        <x:v>2019Q4</x:v>
      </x:c>
      <x:c r="B415" s="2" t="str">
        <x:v>Energy</x:v>
      </x:c>
      <x:c r="C415" s="2" t="str">
        <x:v>能源</x:v>
      </x:c>
      <x:c r="D415" s="16" t="n">
        <x:v>4.687</x:v>
      </x:c>
      <x:c r="E415" s="17" t="str">
        <x:v>曲线近似值</x:v>
      </x:c>
      <x:c r="F415" s="18" t="n">
        <x:v>0.2158</x:v>
      </x:c>
      <x:c r="G415" s="18" t="n">
        <x:v>520.598</x:v>
      </x:c>
      <x:c r="H415" s="18" t="n">
        <x:v>1596.23</x:v>
      </x:c>
      <x:c r="I415" s="2" t="str">
        <x:v>历史图表；最终状态未核验</x:v>
      </x:c>
    </x:row>
    <x:row r="416" ht="24" customHeight="1">
      <x:c r="A416" s="2" t="str">
        <x:v>2019Q4</x:v>
      </x:c>
      <x:c r="B416" s="2" t="str">
        <x:v>Financials</x:v>
      </x:c>
      <x:c r="C416" s="2" t="str">
        <x:v>金融</x:v>
      </x:c>
      <x:c r="D416" s="16" t="n">
        <x:v>8.663</x:v>
      </x:c>
      <x:c r="E416" s="17" t="str">
        <x:v>曲线近似值</x:v>
      </x:c>
      <x:c r="F416" s="18" t="n">
        <x:v>0.1007</x:v>
      </x:c>
      <x:c r="G416" s="18" t="n">
        <x:v>520.598</x:v>
      </x:c>
      <x:c r="H416" s="18" t="n">
        <x:v>1882.695</x:v>
      </x:c>
      <x:c r="I416" s="2" t="str">
        <x:v>历史图表；最终状态未核验</x:v>
      </x:c>
    </x:row>
    <x:row r="417" ht="24" customHeight="1">
      <x:c r="A417" s="2" t="str">
        <x:v>2019Q4</x:v>
      </x:c>
      <x:c r="B417" s="2" t="str">
        <x:v>Health Care</x:v>
      </x:c>
      <x:c r="C417" s="2" t="str">
        <x:v>医疗保健</x:v>
      </x:c>
      <x:c r="D417" s="16" t="n">
        <x:v>16.723</x:v>
      </x:c>
      <x:c r="E417" s="17" t="str">
        <x:v>曲线近似值</x:v>
      </x:c>
      <x:c r="F417" s="18" t="n">
        <x:v>0.173</x:v>
      </x:c>
      <x:c r="G417" s="18" t="n">
        <x:v>1480.598</x:v>
      </x:c>
      <x:c r="H417" s="18" t="n">
        <x:v>235.481</x:v>
      </x:c>
      <x:c r="I417" s="2" t="str">
        <x:v>历史图表；最终状态未核验</x:v>
      </x:c>
    </x:row>
    <x:row r="418" ht="24" customHeight="1">
      <x:c r="A418" s="2" t="str">
        <x:v>2019Q4</x:v>
      </x:c>
      <x:c r="B418" s="2" t="str">
        <x:v>Industrials</x:v>
      </x:c>
      <x:c r="C418" s="2" t="str">
        <x:v>工业</x:v>
      </x:c>
      <x:c r="D418" s="16" t="n">
        <x:v>8.358</x:v>
      </x:c>
      <x:c r="E418" s="17" t="str">
        <x:v>曲线近似值</x:v>
      </x:c>
      <x:c r="F418" s="18" t="n">
        <x:v>0.1149</x:v>
      </x:c>
      <x:c r="G418" s="18" t="n">
        <x:v>1480.598</x:v>
      </x:c>
      <x:c r="H418" s="18" t="n">
        <x:v>554.012</x:v>
      </x:c>
      <x:c r="I418" s="2" t="str">
        <x:v>历史图表；最终状态未核验</x:v>
      </x:c>
    </x:row>
    <x:row r="419" ht="24" customHeight="1">
      <x:c r="A419" s="2" t="str">
        <x:v>2019Q4</x:v>
      </x:c>
      <x:c r="B419" s="2" t="str">
        <x:v>Information Technology</x:v>
      </x:c>
      <x:c r="C419" s="2" t="str">
        <x:v>信息技术</x:v>
      </x:c>
      <x:c r="D419" s="16" t="n">
        <x:v>20.333</x:v>
      </x:c>
      <x:c r="E419" s="17" t="str">
        <x:v>曲线近似值</x:v>
      </x:c>
      <x:c r="F419" s="18" t="n">
        <x:v>0.5027</x:v>
      </x:c>
      <x:c r="G419" s="18" t="n">
        <x:v>1480.598</x:v>
      </x:c>
      <x:c r="H419" s="18" t="n">
        <x:v>947.605</x:v>
      </x:c>
      <x:c r="I419" s="2" t="str">
        <x:v>历史图表；最终状态未核验</x:v>
      </x:c>
    </x:row>
    <x:row r="420" ht="24" customHeight="1">
      <x:c r="A420" s="2" t="str">
        <x:v>2019Q4</x:v>
      </x:c>
      <x:c r="B420" s="2" t="str">
        <x:v>Materials</x:v>
      </x:c>
      <x:c r="C420" s="2" t="str">
        <x:v>材料</x:v>
      </x:c>
      <x:c r="D420" s="16" t="n">
        <x:v>3.67</x:v>
      </x:c>
      <x:c r="E420" s="17" t="str">
        <x:v>曲线近似值</x:v>
      </x:c>
      <x:c r="F420" s="18" t="n">
        <x:v>0.0719</x:v>
      </x:c>
      <x:c r="G420" s="18" t="n">
        <x:v>1480.598</x:v>
      </x:c>
      <x:c r="H420" s="18" t="n">
        <x:v>1310.566</x:v>
      </x:c>
      <x:c r="I420" s="2" t="str">
        <x:v>历史图表；最终状态未核验</x:v>
      </x:c>
    </x:row>
    <x:row r="421" ht="24" customHeight="1">
      <x:c r="A421" s="2" t="str">
        <x:v>2019Q4</x:v>
      </x:c>
      <x:c r="B421" s="2" t="str">
        <x:v>Real Estate</x:v>
      </x:c>
      <x:c r="C421" s="2" t="str">
        <x:v>房地产</x:v>
      </x:c>
      <x:c r="D421" s="16" t="n">
        <x:v>2.559</x:v>
      </x:c>
      <x:c r="E421" s="17" t="str">
        <x:v>曲线近似值</x:v>
      </x:c>
      <x:c r="F421" s="18" t="n">
        <x:v>0.0115</x:v>
      </x:c>
      <x:c r="G421" s="18" t="n">
        <x:v>1480.598</x:v>
      </x:c>
      <x:c r="H421" s="18" t="n">
        <x:v>1588.815</x:v>
      </x:c>
      <x:c r="I421" s="2" t="str">
        <x:v>历史图表；最终状态未核验</x:v>
      </x:c>
    </x:row>
    <x:row r="422" ht="24" customHeight="1">
      <x:c r="A422" s="2" t="str">
        <x:v>2019Q4</x:v>
      </x:c>
      <x:c r="B422" s="2" t="str">
        <x:v>Utilities</x:v>
      </x:c>
      <x:c r="C422" s="2" t="str">
        <x:v>公用事业</x:v>
      </x:c>
      <x:c r="D422" s="16" t="n">
        <x:v>3.194</x:v>
      </x:c>
      <x:c r="E422" s="17" t="str">
        <x:v>曲线近似值</x:v>
      </x:c>
      <x:c r="F422" s="18" t="n">
        <x:v>0.036</x:v>
      </x:c>
      <x:c r="G422" s="18" t="n">
        <x:v>1480.598</x:v>
      </x:c>
      <x:c r="H422" s="18" t="n">
        <x:v>1948.638</x:v>
      </x:c>
      <x:c r="I422" s="2" t="str">
        <x:v>历史图表；最终状态未核验</x:v>
      </x:c>
    </x:row>
    <x:row r="423" ht="24" customHeight="1">
      <x:c r="A423" s="2" t="str">
        <x:v>2020Q1</x:v>
      </x:c>
      <x:c r="B423" s="2" t="str">
        <x:v>Communication Services</x:v>
      </x:c>
      <x:c r="C423" s="2" t="str">
        <x:v>通信服务</x:v>
      </x:c>
      <x:c r="D423" s="16" t="n">
        <x:v>1.966</x:v>
      </x:c>
      <x:c r="E423" s="17" t="str">
        <x:v>曲线近似值</x:v>
      </x:c>
      <x:c r="F423" s="18" t="n">
        <x:v>0.0862</x:v>
      </x:c>
      <x:c r="G423" s="18" t="n">
        <x:v>532.58</x:v>
      </x:c>
      <x:c r="H423" s="18" t="n">
        <x:v>653.88</x:v>
      </x:c>
      <x:c r="I423" s="2" t="str">
        <x:v>历史图表；最终状态未核验</x:v>
      </x:c>
    </x:row>
    <x:row r="424" ht="24" customHeight="1">
      <x:c r="A424" s="2" t="str">
        <x:v>2020Q1</x:v>
      </x:c>
      <x:c r="B424" s="2" t="str">
        <x:v>Consumer Discretionary</x:v>
      </x:c>
      <x:c r="C424" s="2" t="str">
        <x:v>可选消费</x:v>
      </x:c>
      <x:c r="D424" s="16" t="n">
        <x:v>4.241</x:v>
      </x:c>
      <x:c r="E424" s="17" t="str">
        <x:v>曲线近似值</x:v>
      </x:c>
      <x:c r="F424" s="18" t="n">
        <x:v>0.2154</x:v>
      </x:c>
      <x:c r="G424" s="18" t="n">
        <x:v>532.58</x:v>
      </x:c>
      <x:c r="H424" s="18" t="n">
        <x:v>989.129</x:v>
      </x:c>
      <x:c r="I424" s="2" t="str">
        <x:v>历史图表；最终状态未核验</x:v>
      </x:c>
    </x:row>
    <x:row r="425" ht="24" customHeight="1">
      <x:c r="A425" s="2" t="str">
        <x:v>2020Q1</x:v>
      </x:c>
      <x:c r="B425" s="2" t="str">
        <x:v>Consumer Staples</x:v>
      </x:c>
      <x:c r="C425" s="2" t="str">
        <x:v>必需消费</x:v>
      </x:c>
      <x:c r="D425" s="16" t="n">
        <x:v>7.299</x:v>
      </x:c>
      <x:c r="E425" s="17" t="str">
        <x:v>曲线近似值</x:v>
      </x:c>
      <x:c r="F425" s="18" t="n">
        <x:v>0.0504</x:v>
      </x:c>
      <x:c r="G425" s="18" t="n">
        <x:v>532.58</x:v>
      </x:c>
      <x:c r="H425" s="18" t="n">
        <x:v>1225.974</x:v>
      </x:c>
      <x:c r="I425" s="2" t="str">
        <x:v>历史图表；最终状态未核验</x:v>
      </x:c>
    </x:row>
    <x:row r="426" ht="24" customHeight="1">
      <x:c r="A426" s="2" t="str">
        <x:v>2020Q1</x:v>
      </x:c>
      <x:c r="B426" s="2" t="str">
        <x:v>Energy</x:v>
      </x:c>
      <x:c r="C426" s="2" t="str">
        <x:v>能源</x:v>
      </x:c>
      <x:c r="D426" s="16" t="n">
        <x:v>2.892</x:v>
      </x:c>
      <x:c r="E426" s="17" t="str">
        <x:v>曲线近似值</x:v>
      </x:c>
      <x:c r="F426" s="18" t="n">
        <x:v>0.2158</x:v>
      </x:c>
      <x:c r="G426" s="18" t="n">
        <x:v>532.58</x:v>
      </x:c>
      <x:c r="H426" s="18" t="n">
        <x:v>1612.866</x:v>
      </x:c>
      <x:c r="I426" s="2" t="str">
        <x:v>历史图表；最终状态未核验</x:v>
      </x:c>
    </x:row>
    <x:row r="427" ht="24" customHeight="1">
      <x:c r="A427" s="2" t="str">
        <x:v>2020Q1</x:v>
      </x:c>
      <x:c r="B427" s="2" t="str">
        <x:v>Financials</x:v>
      </x:c>
      <x:c r="C427" s="2" t="str">
        <x:v>金融</x:v>
      </x:c>
      <x:c r="D427" s="16" t="n">
        <x:v>5.592</x:v>
      </x:c>
      <x:c r="E427" s="17" t="str">
        <x:v>曲线近似值</x:v>
      </x:c>
      <x:c r="F427" s="18" t="n">
        <x:v>0.1007</x:v>
      </x:c>
      <x:c r="G427" s="18" t="n">
        <x:v>532.58</x:v>
      </x:c>
      <x:c r="H427" s="18" t="n">
        <x:v>1943.665</x:v>
      </x:c>
      <x:c r="I427" s="2" t="str">
        <x:v>历史图表；最终状态未核验</x:v>
      </x:c>
    </x:row>
    <x:row r="428" ht="24" customHeight="1">
      <x:c r="A428" s="2" t="str">
        <x:v>2020Q1</x:v>
      </x:c>
      <x:c r="B428" s="2" t="str">
        <x:v>Health Care</x:v>
      </x:c>
      <x:c r="C428" s="2" t="str">
        <x:v>医疗保健</x:v>
      </x:c>
      <x:c r="D428" s="16" t="n">
        <x:v>17.413</x:v>
      </x:c>
      <x:c r="E428" s="17" t="str">
        <x:v>曲线近似值</x:v>
      </x:c>
      <x:c r="F428" s="18" t="n">
        <x:v>0.173</x:v>
      </x:c>
      <x:c r="G428" s="18" t="n">
        <x:v>1492.58</x:v>
      </x:c>
      <x:c r="H428" s="18" t="n">
        <x:v>227.506</x:v>
      </x:c>
      <x:c r="I428" s="2" t="str">
        <x:v>历史图表；最终状态未核验</x:v>
      </x:c>
    </x:row>
    <x:row r="429" ht="24" customHeight="1">
      <x:c r="A429" s="2" t="str">
        <x:v>2020Q1</x:v>
      </x:c>
      <x:c r="B429" s="2" t="str">
        <x:v>Industrials</x:v>
      </x:c>
      <x:c r="C429" s="2" t="str">
        <x:v>工业</x:v>
      </x:c>
      <x:c r="D429" s="16" t="n">
        <x:v>5.76</x:v>
      </x:c>
      <x:c r="E429" s="17" t="str">
        <x:v>曲线近似值</x:v>
      </x:c>
      <x:c r="F429" s="18" t="n">
        <x:v>0.1149</x:v>
      </x:c>
      <x:c r="G429" s="18" t="n">
        <x:v>1492.58</x:v>
      </x:c>
      <x:c r="H429" s="18" t="n">
        <x:v>599.235</x:v>
      </x:c>
      <x:c r="I429" s="2" t="str">
        <x:v>历史图表；最终状态未核验</x:v>
      </x:c>
    </x:row>
    <x:row r="430" ht="24" customHeight="1">
      <x:c r="A430" s="2" t="str">
        <x:v>2020Q1</x:v>
      </x:c>
      <x:c r="B430" s="2" t="str">
        <x:v>Information Technology</x:v>
      </x:c>
      <x:c r="C430" s="2" t="str">
        <x:v>信息技术</x:v>
      </x:c>
      <x:c r="D430" s="16" t="n">
        <x:v>15.989</x:v>
      </x:c>
      <x:c r="E430" s="17" t="str">
        <x:v>曲线近似值</x:v>
      </x:c>
      <x:c r="F430" s="18" t="n">
        <x:v>0.5027</x:v>
      </x:c>
      <x:c r="G430" s="18" t="n">
        <x:v>1492.58</x:v>
      </x:c>
      <x:c r="H430" s="18" t="n">
        <x:v>964.887</x:v>
      </x:c>
      <x:c r="I430" s="2" t="str">
        <x:v>历史图表；最终状态未核验</x:v>
      </x:c>
    </x:row>
    <x:row r="431" ht="24" customHeight="1">
      <x:c r="A431" s="2" t="str">
        <x:v>2020Q1</x:v>
      </x:c>
      <x:c r="B431" s="2" t="str">
        <x:v>Materials</x:v>
      </x:c>
      <x:c r="C431" s="2" t="str">
        <x:v>材料</x:v>
      </x:c>
      <x:c r="D431" s="16" t="n">
        <x:v>3.581</x:v>
      </x:c>
      <x:c r="E431" s="17" t="str">
        <x:v>曲线近似值</x:v>
      </x:c>
      <x:c r="F431" s="18" t="n">
        <x:v>0.0719</x:v>
      </x:c>
      <x:c r="G431" s="18" t="n">
        <x:v>1492.58</x:v>
      </x:c>
      <x:c r="H431" s="18" t="n">
        <x:v>1313.058</x:v>
      </x:c>
      <x:c r="I431" s="2" t="str">
        <x:v>历史图表；最终状态未核验</x:v>
      </x:c>
    </x:row>
    <x:row r="432" ht="24" customHeight="1">
      <x:c r="A432" s="2" t="str">
        <x:v>2020Q1</x:v>
      </x:c>
      <x:c r="B432" s="2" t="str">
        <x:v>Real Estate</x:v>
      </x:c>
      <x:c r="C432" s="2" t="str">
        <x:v>房地产</x:v>
      </x:c>
      <x:c r="D432" s="16" t="n">
        <x:v>2.275</x:v>
      </x:c>
      <x:c r="E432" s="17" t="str">
        <x:v>曲线近似值</x:v>
      </x:c>
      <x:c r="F432" s="18" t="n">
        <x:v>0.0115</x:v>
      </x:c>
      <x:c r="G432" s="18" t="n">
        <x:v>1492.58</x:v>
      </x:c>
      <x:c r="H432" s="18" t="n">
        <x:v>1638.269</x:v>
      </x:c>
      <x:c r="I432" s="2" t="str">
        <x:v>历史图表；最终状态未核验</x:v>
      </x:c>
    </x:row>
    <x:row r="433" ht="24" customHeight="1">
      <x:c r="A433" s="2" t="str">
        <x:v>2020Q1</x:v>
      </x:c>
      <x:c r="B433" s="2" t="str">
        <x:v>Utilities</x:v>
      </x:c>
      <x:c r="C433" s="2" t="str">
        <x:v>公用事业</x:v>
      </x:c>
      <x:c r="D433" s="16" t="n">
        <x:v>4.313</x:v>
      </x:c>
      <x:c r="E433" s="17" t="str">
        <x:v>曲线近似值</x:v>
      </x:c>
      <x:c r="F433" s="18" t="n">
        <x:v>0.036</x:v>
      </x:c>
      <x:c r="G433" s="18" t="n">
        <x:v>1492.58</x:v>
      </x:c>
      <x:c r="H433" s="18" t="n">
        <x:v>1886.399</x:v>
      </x:c>
      <x:c r="I433" s="2" t="str">
        <x:v>历史图表；最终状态未核验</x:v>
      </x:c>
    </x:row>
    <x:row r="434" ht="24" customHeight="1">
      <x:c r="A434" s="2" t="str">
        <x:v>2020Q2</x:v>
      </x:c>
      <x:c r="B434" s="2" t="str">
        <x:v>Communication Services</x:v>
      </x:c>
      <x:c r="C434" s="2" t="str">
        <x:v>通信服务</x:v>
      </x:c>
      <x:c r="D434" s="16" t="n">
        <x:v>1.779</x:v>
      </x:c>
      <x:c r="E434" s="17" t="str">
        <x:v>曲线近似值</x:v>
      </x:c>
      <x:c r="F434" s="18" t="n">
        <x:v>0.0862</x:v>
      </x:c>
      <x:c r="G434" s="18" t="n">
        <x:v>544.514</x:v>
      </x:c>
      <x:c r="H434" s="18" t="n">
        <x:v>658.216</x:v>
      </x:c>
      <x:c r="I434" s="2" t="str">
        <x:v>历史图表；最终状态未核验</x:v>
      </x:c>
    </x:row>
    <x:row r="435" ht="24" customHeight="1">
      <x:c r="A435" s="2" t="str">
        <x:v>2020Q2</x:v>
      </x:c>
      <x:c r="B435" s="2" t="str">
        <x:v>Consumer Discretionary</x:v>
      </x:c>
      <x:c r="C435" s="2" t="str">
        <x:v>可选消费</x:v>
      </x:c>
      <x:c r="D435" s="16" t="n">
        <x:v>3.617</x:v>
      </x:c>
      <x:c r="E435" s="17" t="str">
        <x:v>曲线近似值</x:v>
      </x:c>
      <x:c r="F435" s="18" t="n">
        <x:v>0.2154</x:v>
      </x:c>
      <x:c r="G435" s="18" t="n">
        <x:v>544.514</x:v>
      </x:c>
      <x:c r="H435" s="18" t="n">
        <x:v>994.921</x:v>
      </x:c>
      <x:c r="I435" s="2" t="str">
        <x:v>历史图表；最终状态未核验</x:v>
      </x:c>
    </x:row>
    <x:row r="436" ht="24" customHeight="1">
      <x:c r="A436" s="2" t="str">
        <x:v>2020Q2</x:v>
      </x:c>
      <x:c r="B436" s="2" t="str">
        <x:v>Consumer Staples</x:v>
      </x:c>
      <x:c r="C436" s="2" t="str">
        <x:v>必需消费</x:v>
      </x:c>
      <x:c r="D436" s="16" t="n">
        <x:v>7.295</x:v>
      </x:c>
      <x:c r="E436" s="17" t="str">
        <x:v>曲线近似值</x:v>
      </x:c>
      <x:c r="F436" s="18" t="n">
        <x:v>0.0504</x:v>
      </x:c>
      <x:c r="G436" s="18" t="n">
        <x:v>544.514</x:v>
      </x:c>
      <x:c r="H436" s="18" t="n">
        <x:v>1226.146</x:v>
      </x:c>
      <x:c r="I436" s="2" t="str">
        <x:v>历史图表；最终状态未核验</x:v>
      </x:c>
    </x:row>
    <x:row r="437" ht="24" customHeight="1">
      <x:c r="A437" s="2" t="str">
        <x:v>2020Q2</x:v>
      </x:c>
      <x:c r="B437" s="2" t="str">
        <x:v>Energy</x:v>
      </x:c>
      <x:c r="C437" s="2" t="str">
        <x:v>能源</x:v>
      </x:c>
      <x:c r="D437" s="16" t="n">
        <x:v>-4.277</x:v>
      </x:c>
      <x:c r="E437" s="17" t="str">
        <x:v>曲线近似值</x:v>
      </x:c>
      <x:c r="F437" s="18" t="n">
        <x:v>0.2158</x:v>
      </x:c>
      <x:c r="G437" s="18" t="n">
        <x:v>544.514</x:v>
      </x:c>
      <x:c r="H437" s="18" t="n">
        <x:v>1679.297</x:v>
      </x:c>
      <x:c r="I437" s="2" t="str">
        <x:v>历史图表；最终状态未核验</x:v>
      </x:c>
    </x:row>
    <x:row r="438" ht="24" customHeight="1">
      <x:c r="A438" s="2" t="str">
        <x:v>2020Q2</x:v>
      </x:c>
      <x:c r="B438" s="2" t="str">
        <x:v>Financials</x:v>
      </x:c>
      <x:c r="C438" s="2" t="str">
        <x:v>金融</x:v>
      </x:c>
      <x:c r="D438" s="16" t="n">
        <x:v>4.999</x:v>
      </x:c>
      <x:c r="E438" s="17" t="str">
        <x:v>曲线近似值</x:v>
      </x:c>
      <x:c r="F438" s="18" t="n">
        <x:v>0.1007</x:v>
      </x:c>
      <x:c r="G438" s="18" t="n">
        <x:v>544.514</x:v>
      </x:c>
      <x:c r="H438" s="18" t="n">
        <x:v>1955.458</x:v>
      </x:c>
      <x:c r="I438" s="2" t="str">
        <x:v>历史图表；最终状态未核验</x:v>
      </x:c>
    </x:row>
    <x:row r="439" ht="24" customHeight="1">
      <x:c r="A439" s="2" t="str">
        <x:v>2020Q2</x:v>
      </x:c>
      <x:c r="B439" s="2" t="str">
        <x:v>Health Care</x:v>
      </x:c>
      <x:c r="C439" s="2" t="str">
        <x:v>医疗保健</x:v>
      </x:c>
      <x:c r="D439" s="16" t="n">
        <x:v>18.394</x:v>
      </x:c>
      <x:c r="E439" s="17" t="str">
        <x:v>曲线近似值</x:v>
      </x:c>
      <x:c r="F439" s="18" t="n">
        <x:v>0.173</x:v>
      </x:c>
      <x:c r="G439" s="18" t="n">
        <x:v>1504.514</x:v>
      </x:c>
      <x:c r="H439" s="18" t="n">
        <x:v>216.163</x:v>
      </x:c>
      <x:c r="I439" s="2" t="str">
        <x:v>历史图表；最终状态未核验</x:v>
      </x:c>
    </x:row>
    <x:row r="440" ht="24" customHeight="1">
      <x:c r="A440" s="2" t="str">
        <x:v>2020Q2</x:v>
      </x:c>
      <x:c r="B440" s="2" t="str">
        <x:v>Industrials</x:v>
      </x:c>
      <x:c r="C440" s="2" t="str">
        <x:v>工业</x:v>
      </x:c>
      <x:c r="D440" s="16" t="n">
        <x:v>1.345</x:v>
      </x:c>
      <x:c r="E440" s="17" t="str">
        <x:v>曲线近似值</x:v>
      </x:c>
      <x:c r="F440" s="18" t="n">
        <x:v>0.1149</x:v>
      </x:c>
      <x:c r="G440" s="18" t="n">
        <x:v>1504.514</x:v>
      </x:c>
      <x:c r="H440" s="18" t="n">
        <x:v>676.089</x:v>
      </x:c>
      <x:c r="I440" s="2" t="str">
        <x:v>历史图表；最终状态未核验</x:v>
      </x:c>
    </x:row>
    <x:row r="441" ht="24" customHeight="1">
      <x:c r="A441" s="2" t="str">
        <x:v>2020Q2</x:v>
      </x:c>
      <x:c r="B441" s="2" t="str">
        <x:v>Information Technology</x:v>
      </x:c>
      <x:c r="C441" s="2" t="str">
        <x:v>信息技术</x:v>
      </x:c>
      <x:c r="D441" s="16" t="n">
        <x:v>16.362</x:v>
      </x:c>
      <x:c r="E441" s="17" t="str">
        <x:v>曲线近似值</x:v>
      </x:c>
      <x:c r="F441" s="18" t="n">
        <x:v>0.5027</x:v>
      </x:c>
      <x:c r="G441" s="18" t="n">
        <x:v>1504.514</x:v>
      </x:c>
      <x:c r="H441" s="18" t="n">
        <x:v>963.403</x:v>
      </x:c>
      <x:c r="I441" s="2" t="str">
        <x:v>历史图表；最终状态未核验</x:v>
      </x:c>
    </x:row>
    <x:row r="442" ht="24" customHeight="1">
      <x:c r="A442" s="2" t="str">
        <x:v>2020Q2</x:v>
      </x:c>
      <x:c r="B442" s="2" t="str">
        <x:v>Materials</x:v>
      </x:c>
      <x:c r="C442" s="2" t="str">
        <x:v>材料</x:v>
      </x:c>
      <x:c r="D442" s="16" t="n">
        <x:v>3.849</x:v>
      </x:c>
      <x:c r="E442" s="17" t="str">
        <x:v>曲线近似值</x:v>
      </x:c>
      <x:c r="F442" s="18" t="n">
        <x:v>0.0719</x:v>
      </x:c>
      <x:c r="G442" s="18" t="n">
        <x:v>1504.514</x:v>
      </x:c>
      <x:c r="H442" s="18" t="n">
        <x:v>1305.609</x:v>
      </x:c>
      <x:c r="I442" s="2" t="str">
        <x:v>历史图表；最终状态未核验</x:v>
      </x:c>
    </x:row>
    <x:row r="443" ht="24" customHeight="1">
      <x:c r="A443" s="2" t="str">
        <x:v>2020Q2</x:v>
      </x:c>
      <x:c r="B443" s="2" t="str">
        <x:v>Real Estate</x:v>
      </x:c>
      <x:c r="C443" s="2" t="str">
        <x:v>房地产</x:v>
      </x:c>
      <x:c r="D443" s="16" t="n">
        <x:v>2.009</x:v>
      </x:c>
      <x:c r="E443" s="17" t="str">
        <x:v>曲线近似值</x:v>
      </x:c>
      <x:c r="F443" s="18" t="n">
        <x:v>0.0115</x:v>
      </x:c>
      <x:c r="G443" s="18" t="n">
        <x:v>1504.514</x:v>
      </x:c>
      <x:c r="H443" s="18" t="n">
        <x:v>1684.373</x:v>
      </x:c>
      <x:c r="I443" s="2" t="str">
        <x:v>历史图表；最终状态未核验</x:v>
      </x:c>
    </x:row>
    <x:row r="444" ht="24" customHeight="1">
      <x:c r="A444" s="2" t="str">
        <x:v>2020Q2</x:v>
      </x:c>
      <x:c r="B444" s="2" t="str">
        <x:v>Utilities</x:v>
      </x:c>
      <x:c r="C444" s="2" t="str">
        <x:v>公用事业</x:v>
      </x:c>
      <x:c r="D444" s="16" t="n">
        <x:v>3.636</x:v>
      </x:c>
      <x:c r="E444" s="17" t="str">
        <x:v>曲线近似值</x:v>
      </x:c>
      <x:c r="F444" s="18" t="n">
        <x:v>0.036</x:v>
      </x:c>
      <x:c r="G444" s="18" t="n">
        <x:v>1504.514</x:v>
      </x:c>
      <x:c r="H444" s="18" t="n">
        <x:v>1924.034</x:v>
      </x:c>
      <x:c r="I444" s="2" t="str">
        <x:v>历史图表；最终状态未核验</x:v>
      </x:c>
    </x:row>
    <x:row r="445" ht="24" customHeight="1">
      <x:c r="A445" s="2" t="str">
        <x:v>2020Q3</x:v>
      </x:c>
      <x:c r="B445" s="2" t="str">
        <x:v>Communication Services</x:v>
      </x:c>
      <x:c r="C445" s="2" t="str">
        <x:v>通信服务</x:v>
      </x:c>
      <x:c r="D445" s="16" t="n">
        <x:v>2.245</x:v>
      </x:c>
      <x:c r="E445" s="17" t="str">
        <x:v>曲线近似值</x:v>
      </x:c>
      <x:c r="F445" s="18" t="n">
        <x:v>0.0862</x:v>
      </x:c>
      <x:c r="G445" s="18" t="n">
        <x:v>556.608</x:v>
      </x:c>
      <x:c r="H445" s="18" t="n">
        <x:v>647.404</x:v>
      </x:c>
      <x:c r="I445" s="2" t="str">
        <x:v>历史图表；最终状态未核验</x:v>
      </x:c>
    </x:row>
    <x:row r="446" ht="24" customHeight="1">
      <x:c r="A446" s="2" t="str">
        <x:v>2020Q3</x:v>
      </x:c>
      <x:c r="B446" s="2" t="str">
        <x:v>Consumer Discretionary</x:v>
      </x:c>
      <x:c r="C446" s="2" t="str">
        <x:v>可选消费</x:v>
      </x:c>
      <x:c r="D446" s="16" t="n">
        <x:v>10.915</x:v>
      </x:c>
      <x:c r="E446" s="17" t="str">
        <x:v>曲线近似值</x:v>
      </x:c>
      <x:c r="F446" s="18" t="n">
        <x:v>0.2154</x:v>
      </x:c>
      <x:c r="G446" s="18" t="n">
        <x:v>556.608</x:v>
      </x:c>
      <x:c r="H446" s="18" t="n">
        <x:v>927.174</x:v>
      </x:c>
      <x:c r="I446" s="2" t="str">
        <x:v>历史图表；最终状态未核验</x:v>
      </x:c>
    </x:row>
    <x:row r="447" ht="24" customHeight="1">
      <x:c r="A447" s="2" t="str">
        <x:v>2020Q3</x:v>
      </x:c>
      <x:c r="B447" s="2" t="str">
        <x:v>Consumer Staples</x:v>
      </x:c>
      <x:c r="C447" s="2" t="str">
        <x:v>必需消费</x:v>
      </x:c>
      <x:c r="D447" s="16" t="n">
        <x:v>8.602</x:v>
      </x:c>
      <x:c r="E447" s="17" t="str">
        <x:v>曲线近似值</x:v>
      </x:c>
      <x:c r="F447" s="18" t="n">
        <x:v>0.0504</x:v>
      </x:c>
      <x:c r="G447" s="18" t="n">
        <x:v>556.608</x:v>
      </x:c>
      <x:c r="H447" s="18" t="n">
        <x:v>1174.238</x:v>
      </x:c>
      <x:c r="I447" s="2" t="str">
        <x:v>历史图表；最终状态未核验</x:v>
      </x:c>
    </x:row>
    <x:row r="448" ht="24" customHeight="1">
      <x:c r="A448" s="2" t="str">
        <x:v>2020Q3</x:v>
      </x:c>
      <x:c r="B448" s="2" t="str">
        <x:v>Energy</x:v>
      </x:c>
      <x:c r="C448" s="2" t="str">
        <x:v>能源</x:v>
      </x:c>
      <x:c r="D448" s="16" t="n">
        <x:v>-0.324</x:v>
      </x:c>
      <x:c r="E448" s="17" t="str">
        <x:v>曲线近似值</x:v>
      </x:c>
      <x:c r="F448" s="18" t="n">
        <x:v>0.2158</x:v>
      </x:c>
      <x:c r="G448" s="18" t="n">
        <x:v>556.608</x:v>
      </x:c>
      <x:c r="H448" s="18" t="n">
        <x:v>1642.667</x:v>
      </x:c>
      <x:c r="I448" s="2" t="str">
        <x:v>历史图表；最终状态未核验</x:v>
      </x:c>
    </x:row>
    <x:row r="449" ht="24" customHeight="1">
      <x:c r="A449" s="2" t="str">
        <x:v>2020Q3</x:v>
      </x:c>
      <x:c r="B449" s="2" t="str">
        <x:v>Financials</x:v>
      </x:c>
      <x:c r="C449" s="2" t="str">
        <x:v>金融</x:v>
      </x:c>
      <x:c r="D449" s="16" t="n">
        <x:v>8.525</x:v>
      </x:c>
      <x:c r="E449" s="17" t="str">
        <x:v>曲线近似值</x:v>
      </x:c>
      <x:c r="F449" s="18" t="n">
        <x:v>0.1007</x:v>
      </x:c>
      <x:c r="G449" s="18" t="n">
        <x:v>556.608</x:v>
      </x:c>
      <x:c r="H449" s="18" t="n">
        <x:v>1885.432</x:v>
      </x:c>
      <x:c r="I449" s="2" t="str">
        <x:v>历史图表；最终状态未核验</x:v>
      </x:c>
    </x:row>
    <x:row r="450" ht="24" customHeight="1">
      <x:c r="A450" s="2" t="str">
        <x:v>2020Q3</x:v>
      </x:c>
      <x:c r="B450" s="2" t="str">
        <x:v>Health Care</x:v>
      </x:c>
      <x:c r="C450" s="2" t="str">
        <x:v>医疗保健</x:v>
      </x:c>
      <x:c r="D450" s="16" t="n">
        <x:v>19.21</x:v>
      </x:c>
      <x:c r="E450" s="17" t="str">
        <x:v>曲线近似值</x:v>
      </x:c>
      <x:c r="F450" s="18" t="n">
        <x:v>0.173</x:v>
      </x:c>
      <x:c r="G450" s="18" t="n">
        <x:v>1516.608</x:v>
      </x:c>
      <x:c r="H450" s="18" t="n">
        <x:v>206.731</x:v>
      </x:c>
      <x:c r="I450" s="2" t="str">
        <x:v>历史图表；最终状态未核验</x:v>
      </x:c>
    </x:row>
    <x:row r="451" ht="24" customHeight="1">
      <x:c r="A451" s="2" t="str">
        <x:v>2020Q3</x:v>
      </x:c>
      <x:c r="B451" s="2" t="str">
        <x:v>Industrials</x:v>
      </x:c>
      <x:c r="C451" s="2" t="str">
        <x:v>工业</x:v>
      </x:c>
      <x:c r="D451" s="16" t="n">
        <x:v>4.628</x:v>
      </x:c>
      <x:c r="E451" s="17" t="str">
        <x:v>曲线近似值</x:v>
      </x:c>
      <x:c r="F451" s="18" t="n">
        <x:v>0.1149</x:v>
      </x:c>
      <x:c r="G451" s="18" t="n">
        <x:v>1516.608</x:v>
      </x:c>
      <x:c r="H451" s="18" t="n">
        <x:v>618.944</x:v>
      </x:c>
      <x:c r="I451" s="2" t="str">
        <x:v>历史图表；最终状态未核验</x:v>
      </x:c>
    </x:row>
    <x:row r="452" ht="24" customHeight="1">
      <x:c r="A452" s="2" t="str">
        <x:v>2020Q3</x:v>
      </x:c>
      <x:c r="B452" s="2" t="str">
        <x:v>Information Technology</x:v>
      </x:c>
      <x:c r="C452" s="2" t="str">
        <x:v>信息技术</x:v>
      </x:c>
      <x:c r="D452" s="16" t="n">
        <x:v>18.627</x:v>
      </x:c>
      <x:c r="E452" s="17" t="str">
        <x:v>曲线近似值</x:v>
      </x:c>
      <x:c r="F452" s="18" t="n">
        <x:v>0.5027</x:v>
      </x:c>
      <x:c r="G452" s="18" t="n">
        <x:v>1516.608</x:v>
      </x:c>
      <x:c r="H452" s="18" t="n">
        <x:v>954.392</x:v>
      </x:c>
      <x:c r="I452" s="2" t="str">
        <x:v>历史图表；最终状态未核验</x:v>
      </x:c>
    </x:row>
    <x:row r="453" ht="24" customHeight="1">
      <x:c r="A453" s="2" t="str">
        <x:v>2020Q3</x:v>
      </x:c>
      <x:c r="B453" s="2" t="str">
        <x:v>Materials</x:v>
      </x:c>
      <x:c r="C453" s="2" t="str">
        <x:v>材料</x:v>
      </x:c>
      <x:c r="D453" s="16" t="n">
        <x:v>4.517</x:v>
      </x:c>
      <x:c r="E453" s="17" t="str">
        <x:v>曲线近似值</x:v>
      </x:c>
      <x:c r="F453" s="18" t="n">
        <x:v>0.0719</x:v>
      </x:c>
      <x:c r="G453" s="18" t="n">
        <x:v>1516.608</x:v>
      </x:c>
      <x:c r="H453" s="18" t="n">
        <x:v>1287.016</x:v>
      </x:c>
      <x:c r="I453" s="2" t="str">
        <x:v>历史图表；最终状态未核验</x:v>
      </x:c>
    </x:row>
    <x:row r="454" ht="24" customHeight="1">
      <x:c r="A454" s="2" t="str">
        <x:v>2020Q3</x:v>
      </x:c>
      <x:c r="B454" s="2" t="str">
        <x:v>Real Estate</x:v>
      </x:c>
      <x:c r="C454" s="2" t="str">
        <x:v>房地产</x:v>
      </x:c>
      <x:c r="D454" s="16" t="n">
        <x:v>2.117</x:v>
      </x:c>
      <x:c r="E454" s="17" t="str">
        <x:v>曲线近似值</x:v>
      </x:c>
      <x:c r="F454" s="18" t="n">
        <x:v>0.0115</x:v>
      </x:c>
      <x:c r="G454" s="18" t="n">
        <x:v>1516.608</x:v>
      </x:c>
      <x:c r="H454" s="18" t="n">
        <x:v>1665.662</x:v>
      </x:c>
      <x:c r="I454" s="2" t="str">
        <x:v>历史图表；最终状态未核验</x:v>
      </x:c>
    </x:row>
    <x:row r="455" ht="24" customHeight="1">
      <x:c r="A455" s="2" t="str">
        <x:v>2020Q3</x:v>
      </x:c>
      <x:c r="B455" s="2" t="str">
        <x:v>Utilities</x:v>
      </x:c>
      <x:c r="C455" s="2" t="str">
        <x:v>公用事业</x:v>
      </x:c>
      <x:c r="D455" s="16" t="n">
        <x:v>5.214</x:v>
      </x:c>
      <x:c r="E455" s="17" t="str">
        <x:v>曲线近似值</x:v>
      </x:c>
      <x:c r="F455" s="18" t="n">
        <x:v>0.036</x:v>
      </x:c>
      <x:c r="G455" s="18" t="n">
        <x:v>1516.608</x:v>
      </x:c>
      <x:c r="H455" s="18" t="n">
        <x:v>1836.314</x:v>
      </x:c>
      <x:c r="I455" s="2" t="str">
        <x:v>历史图表；最终状态未核验</x:v>
      </x:c>
    </x:row>
    <x:row r="456" ht="24" customHeight="1">
      <x:c r="A456" s="2" t="str">
        <x:v>2020Q4</x:v>
      </x:c>
      <x:c r="B456" s="2" t="str">
        <x:v>Communication Services</x:v>
      </x:c>
      <x:c r="C456" s="2" t="str">
        <x:v>通信服务</x:v>
      </x:c>
      <x:c r="D456" s="16" t="n">
        <x:v>2.756</x:v>
      </x:c>
      <x:c r="E456" s="17" t="str">
        <x:v>曲线近似值</x:v>
      </x:c>
      <x:c r="F456" s="18" t="n">
        <x:v>0.0862</x:v>
      </x:c>
      <x:c r="G456" s="18" t="n">
        <x:v>568.619</x:v>
      </x:c>
      <x:c r="H456" s="18" t="n">
        <x:v>635.548</x:v>
      </x:c>
      <x:c r="I456" s="2" t="str">
        <x:v>历史图表；最终状态未核验</x:v>
      </x:c>
    </x:row>
    <x:row r="457" ht="24" customHeight="1">
      <x:c r="A457" s="2" t="str">
        <x:v>2020Q4</x:v>
      </x:c>
      <x:c r="B457" s="2" t="str">
        <x:v>Consumer Discretionary</x:v>
      </x:c>
      <x:c r="C457" s="2" t="str">
        <x:v>可选消费</x:v>
      </x:c>
      <x:c r="D457" s="16" t="n">
        <x:v>8.116</x:v>
      </x:c>
      <x:c r="E457" s="17" t="str">
        <x:v>曲线近似值</x:v>
      </x:c>
      <x:c r="F457" s="18" t="n">
        <x:v>0.2154</x:v>
      </x:c>
      <x:c r="G457" s="18" t="n">
        <x:v>568.619</x:v>
      </x:c>
      <x:c r="H457" s="18" t="n">
        <x:v>953.158</x:v>
      </x:c>
      <x:c r="I457" s="2" t="str">
        <x:v>历史图表；最终状态未核验</x:v>
      </x:c>
    </x:row>
    <x:row r="458" ht="24" customHeight="1">
      <x:c r="A458" s="2" t="str">
        <x:v>2020Q4</x:v>
      </x:c>
      <x:c r="B458" s="2" t="str">
        <x:v>Consumer Staples</x:v>
      </x:c>
      <x:c r="C458" s="2" t="str">
        <x:v>必需消费</x:v>
      </x:c>
      <x:c r="D458" s="16" t="n">
        <x:v>8.212</x:v>
      </x:c>
      <x:c r="E458" s="17" t="str">
        <x:v>曲线近似值</x:v>
      </x:c>
      <x:c r="F458" s="18" t="n">
        <x:v>0.0504</x:v>
      </x:c>
      <x:c r="G458" s="18" t="n">
        <x:v>568.619</x:v>
      </x:c>
      <x:c r="H458" s="18" t="n">
        <x:v>1189.712</x:v>
      </x:c>
      <x:c r="I458" s="2" t="str">
        <x:v>历史图表；最终状态未核验</x:v>
      </x:c>
    </x:row>
    <x:row r="459" ht="24" customHeight="1">
      <x:c r="A459" s="2" t="str">
        <x:v>2020Q4</x:v>
      </x:c>
      <x:c r="B459" s="2" t="str">
        <x:v>Energy</x:v>
      </x:c>
      <x:c r="C459" s="2" t="str">
        <x:v>能源</x:v>
      </x:c>
      <x:c r="D459" s="16" t="n">
        <x:v>-0.338</x:v>
      </x:c>
      <x:c r="E459" s="17" t="str">
        <x:v>曲线近似值</x:v>
      </x:c>
      <x:c r="F459" s="18" t="n">
        <x:v>0.2158</x:v>
      </x:c>
      <x:c r="G459" s="18" t="n">
        <x:v>568.619</x:v>
      </x:c>
      <x:c r="H459" s="18" t="n">
        <x:v>1642.799</x:v>
      </x:c>
      <x:c r="I459" s="2" t="str">
        <x:v>历史图表；最终状态未核验</x:v>
      </x:c>
    </x:row>
    <x:row r="460" ht="24" customHeight="1">
      <x:c r="A460" s="2" t="str">
        <x:v>2020Q4</x:v>
      </x:c>
      <x:c r="B460" s="2" t="str">
        <x:v>Financials</x:v>
      </x:c>
      <x:c r="C460" s="2" t="str">
        <x:v>金融</x:v>
      </x:c>
      <x:c r="D460" s="16" t="n">
        <x:v>10.447</x:v>
      </x:c>
      <x:c r="E460" s="17" t="str">
        <x:v>曲线近似值</x:v>
      </x:c>
      <x:c r="F460" s="18" t="n">
        <x:v>0.1007</x:v>
      </x:c>
      <x:c r="G460" s="18" t="n">
        <x:v>568.619</x:v>
      </x:c>
      <x:c r="H460" s="18" t="n">
        <x:v>1847.257</x:v>
      </x:c>
      <x:c r="I460" s="2" t="str">
        <x:v>历史图表；最终状态未核验</x:v>
      </x:c>
    </x:row>
    <x:row r="461" ht="24" customHeight="1">
      <x:c r="A461" s="2" t="str">
        <x:v>2020Q4</x:v>
      </x:c>
      <x:c r="B461" s="2" t="str">
        <x:v>Health Care</x:v>
      </x:c>
      <x:c r="C461" s="2" t="str">
        <x:v>医疗保健</x:v>
      </x:c>
      <x:c r="D461" s="16" t="n">
        <x:v>18.297</x:v>
      </x:c>
      <x:c r="E461" s="17" t="str">
        <x:v>曲线近似值</x:v>
      </x:c>
      <x:c r="F461" s="18" t="n">
        <x:v>0.173</x:v>
      </x:c>
      <x:c r="G461" s="18" t="n">
        <x:v>1528.619</x:v>
      </x:c>
      <x:c r="H461" s="18" t="n">
        <x:v>217.291</x:v>
      </x:c>
      <x:c r="I461" s="2" t="str">
        <x:v>历史图表；最终状态未核验</x:v>
      </x:c>
    </x:row>
    <x:row r="462" ht="24" customHeight="1">
      <x:c r="A462" s="2" t="str">
        <x:v>2020Q4</x:v>
      </x:c>
      <x:c r="B462" s="2" t="str">
        <x:v>Industrials</x:v>
      </x:c>
      <x:c r="C462" s="2" t="str">
        <x:v>工业</x:v>
      </x:c>
      <x:c r="D462" s="16" t="n">
        <x:v>5.528</x:v>
      </x:c>
      <x:c r="E462" s="17" t="str">
        <x:v>曲线近似值</x:v>
      </x:c>
      <x:c r="F462" s="18" t="n">
        <x:v>0.1149</x:v>
      </x:c>
      <x:c r="G462" s="18" t="n">
        <x:v>1528.619</x:v>
      </x:c>
      <x:c r="H462" s="18" t="n">
        <x:v>603.276</x:v>
      </x:c>
      <x:c r="I462" s="2" t="str">
        <x:v>历史图表；最终状态未核验</x:v>
      </x:c>
    </x:row>
    <x:row r="463" ht="24" customHeight="1">
      <x:c r="A463" s="2" t="str">
        <x:v>2020Q4</x:v>
      </x:c>
      <x:c r="B463" s="2" t="str">
        <x:v>Information Technology</x:v>
      </x:c>
      <x:c r="C463" s="2" t="str">
        <x:v>信息技术</x:v>
      </x:c>
      <x:c r="D463" s="16" t="n">
        <x:v>24.235</x:v>
      </x:c>
      <x:c r="E463" s="17" t="str">
        <x:v>曲线近似值</x:v>
      </x:c>
      <x:c r="F463" s="18" t="n">
        <x:v>0.5027</x:v>
      </x:c>
      <x:c r="G463" s="18" t="n">
        <x:v>1528.619</x:v>
      </x:c>
      <x:c r="H463" s="18" t="n">
        <x:v>932.08</x:v>
      </x:c>
      <x:c r="I463" s="2" t="str">
        <x:v>历史图表；最终状态未核验</x:v>
      </x:c>
    </x:row>
    <x:row r="464" ht="24" customHeight="1">
      <x:c r="A464" s="2" t="str">
        <x:v>2020Q4</x:v>
      </x:c>
      <x:c r="B464" s="2" t="str">
        <x:v>Materials</x:v>
      </x:c>
      <x:c r="C464" s="2" t="str">
        <x:v>材料</x:v>
      </x:c>
      <x:c r="D464" s="16" t="n">
        <x:v>5.165</x:v>
      </x:c>
      <x:c r="E464" s="17" t="str">
        <x:v>曲线近似值</x:v>
      </x:c>
      <x:c r="F464" s="18" t="n">
        <x:v>0.0719</x:v>
      </x:c>
      <x:c r="G464" s="18" t="n">
        <x:v>1528.619</x:v>
      </x:c>
      <x:c r="H464" s="18" t="n">
        <x:v>1269.005</x:v>
      </x:c>
      <x:c r="I464" s="2" t="str">
        <x:v>历史图表；最终状态未核验</x:v>
      </x:c>
    </x:row>
    <x:row r="465" ht="24" customHeight="1">
      <x:c r="A465" s="2" t="str">
        <x:v>2020Q4</x:v>
      </x:c>
      <x:c r="B465" s="2" t="str">
        <x:v>Real Estate</x:v>
      </x:c>
      <x:c r="C465" s="2" t="str">
        <x:v>房地产</x:v>
      </x:c>
      <x:c r="D465" s="16" t="n">
        <x:v>2.208</x:v>
      </x:c>
      <x:c r="E465" s="17" t="str">
        <x:v>曲线近似值</x:v>
      </x:c>
      <x:c r="F465" s="18" t="n">
        <x:v>0.0115</x:v>
      </x:c>
      <x:c r="G465" s="18" t="n">
        <x:v>1528.619</x:v>
      </x:c>
      <x:c r="H465" s="18" t="n">
        <x:v>1649.812</x:v>
      </x:c>
      <x:c r="I465" s="2" t="str">
        <x:v>历史图表；最终状态未核验</x:v>
      </x:c>
    </x:row>
    <x:row r="466" ht="24" customHeight="1">
      <x:c r="A466" s="2" t="str">
        <x:v>2020Q4</x:v>
      </x:c>
      <x:c r="B466" s="2" t="str">
        <x:v>Utilities</x:v>
      </x:c>
      <x:c r="C466" s="2" t="str">
        <x:v>公用事业</x:v>
      </x:c>
      <x:c r="D466" s="16" t="n">
        <x:v>3.127</x:v>
      </x:c>
      <x:c r="E466" s="17" t="str">
        <x:v>曲线近似值</x:v>
      </x:c>
      <x:c r="F466" s="18" t="n">
        <x:v>0.036</x:v>
      </x:c>
      <x:c r="G466" s="18" t="n">
        <x:v>1528.619</x:v>
      </x:c>
      <x:c r="H466" s="18" t="n">
        <x:v>1952.339</x:v>
      </x:c>
      <x:c r="I466" s="2" t="str">
        <x:v>历史图表；最终状态未核验</x:v>
      </x:c>
    </x:row>
    <x:row r="467" ht="24" customHeight="1">
      <x:c r="A467" s="2" t="str">
        <x:v>2021Q1</x:v>
      </x:c>
      <x:c r="B467" s="2" t="str">
        <x:v>Communication Services</x:v>
      </x:c>
      <x:c r="C467" s="2" t="str">
        <x:v>通信服务</x:v>
      </x:c>
      <x:c r="D467" s="16" t="n">
        <x:v>3.013</x:v>
      </x:c>
      <x:c r="E467" s="17" t="str">
        <x:v>曲线近似值</x:v>
      </x:c>
      <x:c r="F467" s="18" t="n">
        <x:v>0.0862</x:v>
      </x:c>
      <x:c r="G467" s="18" t="n">
        <x:v>580.609</x:v>
      </x:c>
      <x:c r="H467" s="18" t="n">
        <x:v>629.577</x:v>
      </x:c>
      <x:c r="I467" s="2" t="str">
        <x:v>历史图表；最终状态未核验</x:v>
      </x:c>
    </x:row>
    <x:row r="468" ht="24" customHeight="1">
      <x:c r="A468" s="2" t="str">
        <x:v>2021Q1</x:v>
      </x:c>
      <x:c r="B468" s="2" t="str">
        <x:v>Consumer Discretionary</x:v>
      </x:c>
      <x:c r="C468" s="2" t="str">
        <x:v>可选消费</x:v>
      </x:c>
      <x:c r="D468" s="16" t="n">
        <x:v>10.238</x:v>
      </x:c>
      <x:c r="E468" s="17" t="str">
        <x:v>曲线近似值</x:v>
      </x:c>
      <x:c r="F468" s="18" t="n">
        <x:v>0.2154</x:v>
      </x:c>
      <x:c r="G468" s="18" t="n">
        <x:v>580.609</x:v>
      </x:c>
      <x:c r="H468" s="18" t="n">
        <x:v>933.454</x:v>
      </x:c>
      <x:c r="I468" s="2" t="str">
        <x:v>历史图表；最终状态未核验</x:v>
      </x:c>
    </x:row>
    <x:row r="469" ht="24" customHeight="1">
      <x:c r="A469" s="2" t="str">
        <x:v>2021Q1</x:v>
      </x:c>
      <x:c r="B469" s="2" t="str">
        <x:v>Consumer Staples</x:v>
      </x:c>
      <x:c r="C469" s="2" t="str">
        <x:v>必需消费</x:v>
      </x:c>
      <x:c r="D469" s="16" t="n">
        <x:v>8.081</x:v>
      </x:c>
      <x:c r="E469" s="17" t="str">
        <x:v>曲线近似值</x:v>
      </x:c>
      <x:c r="F469" s="18" t="n">
        <x:v>0.0504</x:v>
      </x:c>
      <x:c r="G469" s="18" t="n">
        <x:v>580.609</x:v>
      </x:c>
      <x:c r="H469" s="18" t="n">
        <x:v>1194.91</x:v>
      </x:c>
      <x:c r="I469" s="2" t="str">
        <x:v>历史图表；最终状态未核验</x:v>
      </x:c>
    </x:row>
    <x:row r="470" ht="24" customHeight="1">
      <x:c r="A470" s="2" t="str">
        <x:v>2021Q1</x:v>
      </x:c>
      <x:c r="B470" s="2" t="str">
        <x:v>Energy</x:v>
      </x:c>
      <x:c r="C470" s="2" t="str">
        <x:v>能源</x:v>
      </x:c>
      <x:c r="D470" s="16" t="n">
        <x:v>3.618</x:v>
      </x:c>
      <x:c r="E470" s="17" t="str">
        <x:v>曲线近似值</x:v>
      </x:c>
      <x:c r="F470" s="18" t="n">
        <x:v>0.2158</x:v>
      </x:c>
      <x:c r="G470" s="18" t="n">
        <x:v>580.609</x:v>
      </x:c>
      <x:c r="H470" s="18" t="n">
        <x:v>1606.136</x:v>
      </x:c>
      <x:c r="I470" s="2" t="str">
        <x:v>历史图表；最终状态未核验</x:v>
      </x:c>
    </x:row>
    <x:row r="471" ht="24" customHeight="1">
      <x:c r="A471" s="2" t="str">
        <x:v>2021Q1</x:v>
      </x:c>
      <x:c r="B471" s="2" t="str">
        <x:v>Financials</x:v>
      </x:c>
      <x:c r="C471" s="2" t="str">
        <x:v>金融</x:v>
      </x:c>
      <x:c r="D471" s="16" t="n">
        <x:v>13.324</x:v>
      </x:c>
      <x:c r="E471" s="17" t="str">
        <x:v>曲线近似值</x:v>
      </x:c>
      <x:c r="F471" s="18" t="n">
        <x:v>0.1007</x:v>
      </x:c>
      <x:c r="G471" s="18" t="n">
        <x:v>580.609</x:v>
      </x:c>
      <x:c r="H471" s="18" t="n">
        <x:v>1790.129</x:v>
      </x:c>
      <x:c r="I471" s="2" t="str">
        <x:v>历史图表；最终状态未核验</x:v>
      </x:c>
    </x:row>
    <x:row r="472" ht="24" customHeight="1">
      <x:c r="A472" s="2" t="str">
        <x:v>2021Q1</x:v>
      </x:c>
      <x:c r="B472" s="2" t="str">
        <x:v>Health Care</x:v>
      </x:c>
      <x:c r="C472" s="2" t="str">
        <x:v>医疗保健</x:v>
      </x:c>
      <x:c r="D472" s="16" t="n">
        <x:v>21.912</x:v>
      </x:c>
      <x:c r="E472" s="17" t="str">
        <x:v>曲线近似值</x:v>
      </x:c>
      <x:c r="F472" s="18" t="n">
        <x:v>0.173</x:v>
      </x:c>
      <x:c r="G472" s="18" t="n">
        <x:v>1540.609</x:v>
      </x:c>
      <x:c r="H472" s="18" t="n">
        <x:v>175.496</x:v>
      </x:c>
      <x:c r="I472" s="2" t="str">
        <x:v>历史图表；最终状态未核验</x:v>
      </x:c>
    </x:row>
    <x:row r="473" ht="24" customHeight="1">
      <x:c r="A473" s="2" t="str">
        <x:v>2021Q1</x:v>
      </x:c>
      <x:c r="B473" s="2" t="str">
        <x:v>Industrials</x:v>
      </x:c>
      <x:c r="C473" s="2" t="str">
        <x:v>工业</x:v>
      </x:c>
      <x:c r="D473" s="16" t="n">
        <x:v>5.765</x:v>
      </x:c>
      <x:c r="E473" s="17" t="str">
        <x:v>曲线近似值</x:v>
      </x:c>
      <x:c r="F473" s="18" t="n">
        <x:v>0.1149</x:v>
      </x:c>
      <x:c r="G473" s="18" t="n">
        <x:v>1540.609</x:v>
      </x:c>
      <x:c r="H473" s="18" t="n">
        <x:v>599.147</x:v>
      </x:c>
      <x:c r="I473" s="2" t="str">
        <x:v>历史图表；最终状态未核验</x:v>
      </x:c>
    </x:row>
    <x:row r="474" ht="24" customHeight="1">
      <x:c r="A474" s="2" t="str">
        <x:v>2021Q1</x:v>
      </x:c>
      <x:c r="B474" s="2" t="str">
        <x:v>Information Technology</x:v>
      </x:c>
      <x:c r="C474" s="2" t="str">
        <x:v>信息技术</x:v>
      </x:c>
      <x:c r="D474" s="16" t="n">
        <x:v>23.494</x:v>
      </x:c>
      <x:c r="E474" s="17" t="str">
        <x:v>曲线近似值</x:v>
      </x:c>
      <x:c r="F474" s="18" t="n">
        <x:v>0.5027</x:v>
      </x:c>
      <x:c r="G474" s="18" t="n">
        <x:v>1540.609</x:v>
      </x:c>
      <x:c r="H474" s="18" t="n">
        <x:v>935.029</x:v>
      </x:c>
      <x:c r="I474" s="2" t="str">
        <x:v>历史图表；最终状态未核验</x:v>
      </x:c>
    </x:row>
    <x:row r="475" ht="24" customHeight="1">
      <x:c r="A475" s="2" t="str">
        <x:v>2021Q1</x:v>
      </x:c>
      <x:c r="B475" s="2" t="str">
        <x:v>Materials</x:v>
      </x:c>
      <x:c r="C475" s="2" t="str">
        <x:v>材料</x:v>
      </x:c>
      <x:c r="D475" s="16" t="n">
        <x:v>6.259</x:v>
      </x:c>
      <x:c r="E475" s="17" t="str">
        <x:v>曲线近似值</x:v>
      </x:c>
      <x:c r="F475" s="18" t="n">
        <x:v>0.0719</x:v>
      </x:c>
      <x:c r="G475" s="18" t="n">
        <x:v>1540.609</x:v>
      </x:c>
      <x:c r="H475" s="18" t="n">
        <x:v>1238.596</x:v>
      </x:c>
      <x:c r="I475" s="2" t="str">
        <x:v>历史图表；最终状态未核验</x:v>
      </x:c>
    </x:row>
    <x:row r="476" ht="24" customHeight="1">
      <x:c r="A476" s="2" t="str">
        <x:v>2021Q1</x:v>
      </x:c>
      <x:c r="B476" s="2" t="str">
        <x:v>Real Estate</x:v>
      </x:c>
      <x:c r="C476" s="2" t="str">
        <x:v>房地产</x:v>
      </x:c>
      <x:c r="D476" s="16" t="n">
        <x:v>2.337</x:v>
      </x:c>
      <x:c r="E476" s="17" t="str">
        <x:v>曲线近似值</x:v>
      </x:c>
      <x:c r="F476" s="18" t="n">
        <x:v>0.0115</x:v>
      </x:c>
      <x:c r="G476" s="18" t="n">
        <x:v>1540.609</x:v>
      </x:c>
      <x:c r="H476" s="18" t="n">
        <x:v>1627.459</x:v>
      </x:c>
      <x:c r="I476" s="2" t="str">
        <x:v>历史图表；最终状态未核验</x:v>
      </x:c>
    </x:row>
    <x:row r="477" ht="24" customHeight="1">
      <x:c r="A477" s="2" t="str">
        <x:v>2021Q1</x:v>
      </x:c>
      <x:c r="B477" s="2" t="str">
        <x:v>Utilities</x:v>
      </x:c>
      <x:c r="C477" s="2" t="str">
        <x:v>公用事业</x:v>
      </x:c>
      <x:c r="D477" s="16" t="n">
        <x:v>4.253</x:v>
      </x:c>
      <x:c r="E477" s="17" t="str">
        <x:v>曲线近似值</x:v>
      </x:c>
      <x:c r="F477" s="18" t="n">
        <x:v>0.036</x:v>
      </x:c>
      <x:c r="G477" s="18" t="n">
        <x:v>1540.609</x:v>
      </x:c>
      <x:c r="H477" s="18" t="n">
        <x:v>1889.729</x:v>
      </x:c>
      <x:c r="I477" s="2" t="str">
        <x:v>历史图表；最终状态未核验</x:v>
      </x:c>
    </x:row>
    <x:row r="478" ht="24" customHeight="1">
      <x:c r="A478" s="2" t="str">
        <x:v>2021Q2</x:v>
      </x:c>
      <x:c r="B478" s="2" t="str">
        <x:v>Communication Services</x:v>
      </x:c>
      <x:c r="C478" s="2" t="str">
        <x:v>通信服务</x:v>
      </x:c>
      <x:c r="D478" s="16" t="n">
        <x:v>3.143</x:v>
      </x:c>
      <x:c r="E478" s="17" t="str">
        <x:v>曲线近似值</x:v>
      </x:c>
      <x:c r="F478" s="18" t="n">
        <x:v>0.0862</x:v>
      </x:c>
      <x:c r="G478" s="18" t="n">
        <x:v>591.214</x:v>
      </x:c>
      <x:c r="H478" s="18" t="n">
        <x:v>626.567</x:v>
      </x:c>
      <x:c r="I478" s="2" t="str">
        <x:v>历史图表；最终状态未核验</x:v>
      </x:c>
    </x:row>
    <x:row r="479" ht="24" customHeight="1">
      <x:c r="A479" s="2" t="str">
        <x:v>2021Q2</x:v>
      </x:c>
      <x:c r="B479" s="2" t="str">
        <x:v>Consumer Discretionary</x:v>
      </x:c>
      <x:c r="C479" s="2" t="str">
        <x:v>可选消费</x:v>
      </x:c>
      <x:c r="D479" s="16" t="n">
        <x:v>11.19</x:v>
      </x:c>
      <x:c r="E479" s="17" t="str">
        <x:v>曲线近似值</x:v>
      </x:c>
      <x:c r="F479" s="18" t="n">
        <x:v>0.2154</x:v>
      </x:c>
      <x:c r="G479" s="18" t="n">
        <x:v>591.214</x:v>
      </x:c>
      <x:c r="H479" s="18" t="n">
        <x:v>924.62</x:v>
      </x:c>
      <x:c r="I479" s="2" t="str">
        <x:v>历史图表；最终状态未核验</x:v>
      </x:c>
    </x:row>
    <x:row r="480" ht="24" customHeight="1">
      <x:c r="A480" s="2" t="str">
        <x:v>2021Q2</x:v>
      </x:c>
      <x:c r="B480" s="2" t="str">
        <x:v>Consumer Staples</x:v>
      </x:c>
      <x:c r="C480" s="2" t="str">
        <x:v>必需消费</x:v>
      </x:c>
      <x:c r="D480" s="16" t="n">
        <x:v>8.748</x:v>
      </x:c>
      <x:c r="E480" s="17" t="str">
        <x:v>曲线近似值</x:v>
      </x:c>
      <x:c r="F480" s="18" t="n">
        <x:v>0.0504</x:v>
      </x:c>
      <x:c r="G480" s="18" t="n">
        <x:v>591.214</x:v>
      </x:c>
      <x:c r="H480" s="18" t="n">
        <x:v>1168.455</x:v>
      </x:c>
      <x:c r="I480" s="2" t="str">
        <x:v>历史图表；最终状态未核验</x:v>
      </x:c>
    </x:row>
    <x:row r="481" ht="24" customHeight="1">
      <x:c r="A481" s="2" t="str">
        <x:v>2021Q2</x:v>
      </x:c>
      <x:c r="B481" s="2" t="str">
        <x:v>Energy</x:v>
      </x:c>
      <x:c r="C481" s="2" t="str">
        <x:v>能源</x:v>
      </x:c>
      <x:c r="D481" s="16" t="n">
        <x:v>6.244</x:v>
      </x:c>
      <x:c r="E481" s="17" t="str">
        <x:v>曲线近似值</x:v>
      </x:c>
      <x:c r="F481" s="18" t="n">
        <x:v>0.2158</x:v>
      </x:c>
      <x:c r="G481" s="18" t="n">
        <x:v>591.214</x:v>
      </x:c>
      <x:c r="H481" s="18" t="n">
        <x:v>1581.807</x:v>
      </x:c>
      <x:c r="I481" s="2" t="str">
        <x:v>历史图表；最终状态未核验</x:v>
      </x:c>
    </x:row>
    <x:row r="482" ht="24" customHeight="1">
      <x:c r="A482" s="2" t="str">
        <x:v>2021Q2</x:v>
      </x:c>
      <x:c r="B482" s="2" t="str">
        <x:v>Financials</x:v>
      </x:c>
      <x:c r="C482" s="2" t="str">
        <x:v>金融</x:v>
      </x:c>
      <x:c r="D482" s="16" t="n">
        <x:v>12.774</x:v>
      </x:c>
      <x:c r="E482" s="17" t="str">
        <x:v>曲线近似值</x:v>
      </x:c>
      <x:c r="F482" s="18" t="n">
        <x:v>0.1007</x:v>
      </x:c>
      <x:c r="G482" s="18" t="n">
        <x:v>591.214</x:v>
      </x:c>
      <x:c r="H482" s="18" t="n">
        <x:v>1801.061</x:v>
      </x:c>
      <x:c r="I482" s="2" t="str">
        <x:v>历史图表；最终状态未核验</x:v>
      </x:c>
    </x:row>
    <x:row r="483" ht="24" customHeight="1">
      <x:c r="A483" s="2" t="str">
        <x:v>2021Q2</x:v>
      </x:c>
      <x:c r="B483" s="2" t="str">
        <x:v>Health Care</x:v>
      </x:c>
      <x:c r="C483" s="2" t="str">
        <x:v>医疗保健</x:v>
      </x:c>
      <x:c r="D483" s="16" t="n">
        <x:v>22.833</x:v>
      </x:c>
      <x:c r="E483" s="17" t="str">
        <x:v>曲线近似值</x:v>
      </x:c>
      <x:c r="F483" s="18" t="n">
        <x:v>0.173</x:v>
      </x:c>
      <x:c r="G483" s="18" t="n">
        <x:v>1551.214</x:v>
      </x:c>
      <x:c r="H483" s="18" t="n">
        <x:v>164.855</x:v>
      </x:c>
      <x:c r="I483" s="2" t="str">
        <x:v>历史图表；最终状态未核验</x:v>
      </x:c>
    </x:row>
    <x:row r="484" ht="24" customHeight="1">
      <x:c r="A484" s="2" t="str">
        <x:v>2021Q2</x:v>
      </x:c>
      <x:c r="B484" s="2" t="str">
        <x:v>Industrials</x:v>
      </x:c>
      <x:c r="C484" s="2" t="str">
        <x:v>工业</x:v>
      </x:c>
      <x:c r="D484" s="16" t="n">
        <x:v>8.366</x:v>
      </x:c>
      <x:c r="E484" s="17" t="str">
        <x:v>曲线近似值</x:v>
      </x:c>
      <x:c r="F484" s="18" t="n">
        <x:v>0.1149</x:v>
      </x:c>
      <x:c r="G484" s="18" t="n">
        <x:v>1551.214</x:v>
      </x:c>
      <x:c r="H484" s="18" t="n">
        <x:v>553.874</x:v>
      </x:c>
      <x:c r="I484" s="2" t="str">
        <x:v>历史图表；最终状态未核验</x:v>
      </x:c>
    </x:row>
    <x:row r="485" ht="24" customHeight="1">
      <x:c r="A485" s="2" t="str">
        <x:v>2021Q2</x:v>
      </x:c>
      <x:c r="B485" s="2" t="str">
        <x:v>Information Technology</x:v>
      </x:c>
      <x:c r="C485" s="2" t="str">
        <x:v>信息技术</x:v>
      </x:c>
      <x:c r="D485" s="16" t="n">
        <x:v>24.53</x:v>
      </x:c>
      <x:c r="E485" s="17" t="str">
        <x:v>曲线近似值</x:v>
      </x:c>
      <x:c r="F485" s="18" t="n">
        <x:v>0.5027</x:v>
      </x:c>
      <x:c r="G485" s="18" t="n">
        <x:v>1551.214</x:v>
      </x:c>
      <x:c r="H485" s="18" t="n">
        <x:v>930.907</x:v>
      </x:c>
      <x:c r="I485" s="2" t="str">
        <x:v>历史图表；最终状态未核验</x:v>
      </x:c>
    </x:row>
    <x:row r="486" ht="24" customHeight="1">
      <x:c r="A486" s="2" t="str">
        <x:v>2021Q2</x:v>
      </x:c>
      <x:c r="B486" s="2" t="str">
        <x:v>Materials</x:v>
      </x:c>
      <x:c r="C486" s="2" t="str">
        <x:v>材料</x:v>
      </x:c>
      <x:c r="D486" s="16" t="n">
        <x:v>8.953</x:v>
      </x:c>
      <x:c r="E486" s="17" t="str">
        <x:v>曲线近似值</x:v>
      </x:c>
      <x:c r="F486" s="18" t="n">
        <x:v>0.0719</x:v>
      </x:c>
      <x:c r="G486" s="18" t="n">
        <x:v>1551.214</x:v>
      </x:c>
      <x:c r="H486" s="18" t="n">
        <x:v>1163.715</x:v>
      </x:c>
      <x:c r="I486" s="2" t="str">
        <x:v>历史图表；最终状态未核验</x:v>
      </x:c>
    </x:row>
    <x:row r="487" ht="24" customHeight="1">
      <x:c r="A487" s="2" t="str">
        <x:v>2021Q2</x:v>
      </x:c>
      <x:c r="B487" s="2" t="str">
        <x:v>Real Estate</x:v>
      </x:c>
      <x:c r="C487" s="2" t="str">
        <x:v>房地产</x:v>
      </x:c>
      <x:c r="D487" s="16" t="n">
        <x:v>2.778</x:v>
      </x:c>
      <x:c r="E487" s="17" t="str">
        <x:v>曲线近似值</x:v>
      </x:c>
      <x:c r="F487" s="18" t="n">
        <x:v>0.0115</x:v>
      </x:c>
      <x:c r="G487" s="18" t="n">
        <x:v>1551.214</x:v>
      </x:c>
      <x:c r="H487" s="18" t="n">
        <x:v>1550.789</x:v>
      </x:c>
      <x:c r="I487" s="2" t="str">
        <x:v>历史图表；最终状态未核验</x:v>
      </x:c>
    </x:row>
    <x:row r="488" ht="24" customHeight="1">
      <x:c r="A488" s="2" t="str">
        <x:v>2021Q2</x:v>
      </x:c>
      <x:c r="B488" s="2" t="str">
        <x:v>Utilities</x:v>
      </x:c>
      <x:c r="C488" s="2" t="str">
        <x:v>公用事业</x:v>
      </x:c>
      <x:c r="D488" s="16" t="n">
        <x:v>4.13</x:v>
      </x:c>
      <x:c r="E488" s="17" t="str">
        <x:v>曲线近似值</x:v>
      </x:c>
      <x:c r="F488" s="18" t="n">
        <x:v>0.036</x:v>
      </x:c>
      <x:c r="G488" s="18" t="n">
        <x:v>1551.214</x:v>
      </x:c>
      <x:c r="H488" s="18" t="n">
        <x:v>1896.568</x:v>
      </x:c>
      <x:c r="I488" s="2" t="str">
        <x:v>历史图表；最终状态未核验</x:v>
      </x:c>
    </x:row>
    <x:row r="489" ht="24" customHeight="1">
      <x:c r="A489" s="2" t="str">
        <x:v>2021Q3</x:v>
      </x:c>
      <x:c r="B489" s="2" t="str">
        <x:v>Communication Services</x:v>
      </x:c>
      <x:c r="C489" s="2" t="str">
        <x:v>通信服务</x:v>
      </x:c>
      <x:c r="D489" s="16" t="n">
        <x:v>3.016</x:v>
      </x:c>
      <x:c r="E489" s="17" t="str">
        <x:v>曲线近似值</x:v>
      </x:c>
      <x:c r="F489" s="18" t="n">
        <x:v>0.0862</x:v>
      </x:c>
      <x:c r="G489" s="18" t="n">
        <x:v>603.094</x:v>
      </x:c>
      <x:c r="H489" s="18" t="n">
        <x:v>629.5</x:v>
      </x:c>
      <x:c r="I489" s="2" t="str">
        <x:v>历史图表；最终状态未核验</x:v>
      </x:c>
    </x:row>
    <x:row r="490" ht="24" customHeight="1">
      <x:c r="A490" s="2" t="str">
        <x:v>2021Q3</x:v>
      </x:c>
      <x:c r="B490" s="2" t="str">
        <x:v>Consumer Discretionary</x:v>
      </x:c>
      <x:c r="C490" s="2" t="str">
        <x:v>可选消费</x:v>
      </x:c>
      <x:c r="D490" s="16" t="n">
        <x:v>10.242</x:v>
      </x:c>
      <x:c r="E490" s="17" t="str">
        <x:v>曲线近似值</x:v>
      </x:c>
      <x:c r="F490" s="18" t="n">
        <x:v>0.2154</x:v>
      </x:c>
      <x:c r="G490" s="18" t="n">
        <x:v>603.094</x:v>
      </x:c>
      <x:c r="H490" s="18" t="n">
        <x:v>933.421</x:v>
      </x:c>
      <x:c r="I490" s="2" t="str">
        <x:v>历史图表；最终状态未核验</x:v>
      </x:c>
    </x:row>
    <x:row r="491" ht="24" customHeight="1">
      <x:c r="A491" s="2" t="str">
        <x:v>2021Q3</x:v>
      </x:c>
      <x:c r="B491" s="2" t="str">
        <x:v>Consumer Staples</x:v>
      </x:c>
      <x:c r="C491" s="2" t="str">
        <x:v>必需消费</x:v>
      </x:c>
      <x:c r="D491" s="16" t="n">
        <x:v>9.194</x:v>
      </x:c>
      <x:c r="E491" s="17" t="str">
        <x:v>曲线近似值</x:v>
      </x:c>
      <x:c r="F491" s="18" t="n">
        <x:v>0.0504</x:v>
      </x:c>
      <x:c r="G491" s="18" t="n">
        <x:v>603.094</x:v>
      </x:c>
      <x:c r="H491" s="18" t="n">
        <x:v>1150.706</x:v>
      </x:c>
      <x:c r="I491" s="2" t="str">
        <x:v>历史图表；最终状态未核验</x:v>
      </x:c>
    </x:row>
    <x:row r="492" ht="24" customHeight="1">
      <x:c r="A492" s="2" t="str">
        <x:v>2021Q3</x:v>
      </x:c>
      <x:c r="B492" s="2" t="str">
        <x:v>Energy</x:v>
      </x:c>
      <x:c r="C492" s="2" t="str">
        <x:v>能源</x:v>
      </x:c>
      <x:c r="D492" s="16" t="n">
        <x:v>9.72</x:v>
      </x:c>
      <x:c r="E492" s="17" t="str">
        <x:v>曲线近似值</x:v>
      </x:c>
      <x:c r="F492" s="18" t="n">
        <x:v>0.2158</x:v>
      </x:c>
      <x:c r="G492" s="18" t="n">
        <x:v>603.094</x:v>
      </x:c>
      <x:c r="H492" s="18" t="n">
        <x:v>1549.593</x:v>
      </x:c>
      <x:c r="I492" s="2" t="str">
        <x:v>历史图表；最终状态未核验</x:v>
      </x:c>
    </x:row>
    <x:row r="493" ht="24" customHeight="1">
      <x:c r="A493" s="2" t="str">
        <x:v>2021Q3</x:v>
      </x:c>
      <x:c r="B493" s="2" t="str">
        <x:v>Financials</x:v>
      </x:c>
      <x:c r="C493" s="2" t="str">
        <x:v>金融</x:v>
      </x:c>
      <x:c r="D493" s="16" t="n">
        <x:v>11.427</x:v>
      </x:c>
      <x:c r="E493" s="17" t="str">
        <x:v>曲线近似值</x:v>
      </x:c>
      <x:c r="F493" s="18" t="n">
        <x:v>0.1007</x:v>
      </x:c>
      <x:c r="G493" s="18" t="n">
        <x:v>603.094</x:v>
      </x:c>
      <x:c r="H493" s="18" t="n">
        <x:v>1827.812</x:v>
      </x:c>
      <x:c r="I493" s="2" t="str">
        <x:v>历史图表；最终状态未核验</x:v>
      </x:c>
    </x:row>
    <x:row r="494" ht="24" customHeight="1">
      <x:c r="A494" s="2" t="str">
        <x:v>2021Q3</x:v>
      </x:c>
      <x:c r="B494" s="2" t="str">
        <x:v>Health Care</x:v>
      </x:c>
      <x:c r="C494" s="2" t="str">
        <x:v>医疗保健</x:v>
      </x:c>
      <x:c r="D494" s="16" t="n">
        <x:v>23.452</x:v>
      </x:c>
      <x:c r="E494" s="17" t="str">
        <x:v>曲线近似值</x:v>
      </x:c>
      <x:c r="F494" s="18" t="n">
        <x:v>0.173</x:v>
      </x:c>
      <x:c r="G494" s="18" t="n">
        <x:v>1563.094</x:v>
      </x:c>
      <x:c r="H494" s="18" t="n">
        <x:v>157.691</x:v>
      </x:c>
      <x:c r="I494" s="2" t="str">
        <x:v>历史图表；最终状态未核验</x:v>
      </x:c>
    </x:row>
    <x:row r="495" ht="24" customHeight="1">
      <x:c r="A495" s="2" t="str">
        <x:v>2021Q3</x:v>
      </x:c>
      <x:c r="B495" s="2" t="str">
        <x:v>Industrials</x:v>
      </x:c>
      <x:c r="C495" s="2" t="str">
        <x:v>工业</x:v>
      </x:c>
      <x:c r="D495" s="16" t="n">
        <x:v>8.732</x:v>
      </x:c>
      <x:c r="E495" s="17" t="str">
        <x:v>曲线近似值</x:v>
      </x:c>
      <x:c r="F495" s="18" t="n">
        <x:v>0.1149</x:v>
      </x:c>
      <x:c r="G495" s="18" t="n">
        <x:v>1563.094</x:v>
      </x:c>
      <x:c r="H495" s="18" t="n">
        <x:v>547.511</x:v>
      </x:c>
      <x:c r="I495" s="2" t="str">
        <x:v>历史图表；最终状态未核验</x:v>
      </x:c>
    </x:row>
    <x:row r="496" ht="24" customHeight="1">
      <x:c r="A496" s="2" t="str">
        <x:v>2021Q3</x:v>
      </x:c>
      <x:c r="B496" s="2" t="str">
        <x:v>Information Technology</x:v>
      </x:c>
      <x:c r="C496" s="2" t="str">
        <x:v>信息技术</x:v>
      </x:c>
      <x:c r="D496" s="16" t="n">
        <x:v>25.467</x:v>
      </x:c>
      <x:c r="E496" s="17" t="str">
        <x:v>曲线近似值</x:v>
      </x:c>
      <x:c r="F496" s="18" t="n">
        <x:v>0.5027</x:v>
      </x:c>
      <x:c r="G496" s="18" t="n">
        <x:v>1563.094</x:v>
      </x:c>
      <x:c r="H496" s="18" t="n">
        <x:v>927.179</x:v>
      </x:c>
      <x:c r="I496" s="2" t="str">
        <x:v>历史图表；最终状态未核验</x:v>
      </x:c>
    </x:row>
    <x:row r="497" ht="24" customHeight="1">
      <x:c r="A497" s="2" t="str">
        <x:v>2021Q3</x:v>
      </x:c>
      <x:c r="B497" s="2" t="str">
        <x:v>Materials</x:v>
      </x:c>
      <x:c r="C497" s="2" t="str">
        <x:v>材料</x:v>
      </x:c>
      <x:c r="D497" s="16" t="n">
        <x:v>8.395</x:v>
      </x:c>
      <x:c r="E497" s="17" t="str">
        <x:v>曲线近似值</x:v>
      </x:c>
      <x:c r="F497" s="18" t="n">
        <x:v>0.0719</x:v>
      </x:c>
      <x:c r="G497" s="18" t="n">
        <x:v>1563.094</x:v>
      </x:c>
      <x:c r="H497" s="18" t="n">
        <x:v>1179.223</x:v>
      </x:c>
      <x:c r="I497" s="2" t="str">
        <x:v>历史图表；最终状态未核验</x:v>
      </x:c>
    </x:row>
    <x:row r="498" ht="24" customHeight="1">
      <x:c r="A498" s="2" t="str">
        <x:v>2021Q3</x:v>
      </x:c>
      <x:c r="B498" s="2" t="str">
        <x:v>Real Estate</x:v>
      </x:c>
      <x:c r="C498" s="2" t="str">
        <x:v>房地产</x:v>
      </x:c>
      <x:c r="D498" s="16" t="n">
        <x:v>2.818</x:v>
      </x:c>
      <x:c r="E498" s="17" t="str">
        <x:v>曲线近似值</x:v>
      </x:c>
      <x:c r="F498" s="18" t="n">
        <x:v>0.0115</x:v>
      </x:c>
      <x:c r="G498" s="18" t="n">
        <x:v>1563.094</x:v>
      </x:c>
      <x:c r="H498" s="18" t="n">
        <x:v>1543.823</x:v>
      </x:c>
      <x:c r="I498" s="2" t="str">
        <x:v>历史图表；最终状态未核验</x:v>
      </x:c>
    </x:row>
    <x:row r="499" ht="24" customHeight="1">
      <x:c r="A499" s="2" t="str">
        <x:v>2021Q3</x:v>
      </x:c>
      <x:c r="B499" s="2" t="str">
        <x:v>Utilities</x:v>
      </x:c>
      <x:c r="C499" s="2" t="str">
        <x:v>公用事业</x:v>
      </x:c>
      <x:c r="D499" s="16" t="n">
        <x:v>5.781</x:v>
      </x:c>
      <x:c r="E499" s="17" t="str">
        <x:v>曲线近似值</x:v>
      </x:c>
      <x:c r="F499" s="18" t="n">
        <x:v>0.036</x:v>
      </x:c>
      <x:c r="G499" s="18" t="n">
        <x:v>1563.094</x:v>
      </x:c>
      <x:c r="H499" s="18" t="n">
        <x:v>1804.802</x:v>
      </x:c>
      <x:c r="I499" s="2" t="str">
        <x:v>历史图表；最终状态未核验</x:v>
      </x:c>
    </x:row>
    <x:row r="500" ht="24" customHeight="1">
      <x:c r="A500" s="2" t="str">
        <x:v>2021Q4</x:v>
      </x:c>
      <x:c r="B500" s="2" t="str">
        <x:v>Communication Services</x:v>
      </x:c>
      <x:c r="C500" s="2" t="str">
        <x:v>通信服务</x:v>
      </x:c>
      <x:c r="D500" s="16" t="n">
        <x:v>3.193</x:v>
      </x:c>
      <x:c r="E500" s="17" t="str">
        <x:v>曲线近似值</x:v>
      </x:c>
      <x:c r="F500" s="18" t="n">
        <x:v>0.0862</x:v>
      </x:c>
      <x:c r="G500" s="18" t="n">
        <x:v>615.103</x:v>
      </x:c>
      <x:c r="H500" s="18" t="n">
        <x:v>625.392</x:v>
      </x:c>
      <x:c r="I500" s="2" t="str">
        <x:v>历史图表；最终状态未核验</x:v>
      </x:c>
    </x:row>
    <x:row r="501" ht="24" customHeight="1">
      <x:c r="A501" s="2" t="str">
        <x:v>2021Q4</x:v>
      </x:c>
      <x:c r="B501" s="2" t="str">
        <x:v>Consumer Discretionary</x:v>
      </x:c>
      <x:c r="C501" s="2" t="str">
        <x:v>可选消费</x:v>
      </x:c>
      <x:c r="D501" s="16" t="n">
        <x:v>11.884</x:v>
      </x:c>
      <x:c r="E501" s="17" t="str">
        <x:v>曲线近似值</x:v>
      </x:c>
      <x:c r="F501" s="18" t="n">
        <x:v>0.2154</x:v>
      </x:c>
      <x:c r="G501" s="18" t="n">
        <x:v>615.103</x:v>
      </x:c>
      <x:c r="H501" s="18" t="n">
        <x:v>918.172</x:v>
      </x:c>
      <x:c r="I501" s="2" t="str">
        <x:v>历史图表；最终状态未核验</x:v>
      </x:c>
    </x:row>
    <x:row r="502" ht="24" customHeight="1">
      <x:c r="A502" s="2" t="str">
        <x:v>2021Q4</x:v>
      </x:c>
      <x:c r="B502" s="2" t="str">
        <x:v>Consumer Staples</x:v>
      </x:c>
      <x:c r="C502" s="2" t="str">
        <x:v>必需消费</x:v>
      </x:c>
      <x:c r="D502" s="16" t="n">
        <x:v>8.805</x:v>
      </x:c>
      <x:c r="E502" s="17" t="str">
        <x:v>曲线近似值</x:v>
      </x:c>
      <x:c r="F502" s="18" t="n">
        <x:v>0.0504</x:v>
      </x:c>
      <x:c r="G502" s="18" t="n">
        <x:v>615.103</x:v>
      </x:c>
      <x:c r="H502" s="18" t="n">
        <x:v>1166.164</x:v>
      </x:c>
      <x:c r="I502" s="2" t="str">
        <x:v>历史图表；最终状态未核验</x:v>
      </x:c>
    </x:row>
    <x:row r="503" ht="24" customHeight="1">
      <x:c r="A503" s="2" t="str">
        <x:v>2021Q4</x:v>
      </x:c>
      <x:c r="B503" s="2" t="str">
        <x:v>Energy</x:v>
      </x:c>
      <x:c r="C503" s="2" t="str">
        <x:v>能源</x:v>
      </x:c>
      <x:c r="D503" s="16" t="n">
        <x:v>11.622</x:v>
      </x:c>
      <x:c r="E503" s="17" t="str">
        <x:v>曲线近似值</x:v>
      </x:c>
      <x:c r="F503" s="18" t="n">
        <x:v>0.2158</x:v>
      </x:c>
      <x:c r="G503" s="18" t="n">
        <x:v>615.103</x:v>
      </x:c>
      <x:c r="H503" s="18" t="n">
        <x:v>1531.971</x:v>
      </x:c>
      <x:c r="I503" s="2" t="str">
        <x:v>历史图表；最终状态未核验</x:v>
      </x:c>
    </x:row>
    <x:row r="504" ht="24" customHeight="1">
      <x:c r="A504" s="2" t="str">
        <x:v>2021Q4</x:v>
      </x:c>
      <x:c r="B504" s="2" t="str">
        <x:v>Financials</x:v>
      </x:c>
      <x:c r="C504" s="2" t="str">
        <x:v>金融</x:v>
      </x:c>
      <x:c r="D504" s="16" t="n">
        <x:v>11.29</x:v>
      </x:c>
      <x:c r="E504" s="17" t="str">
        <x:v>曲线近似值</x:v>
      </x:c>
      <x:c r="F504" s="18" t="n">
        <x:v>0.1007</x:v>
      </x:c>
      <x:c r="G504" s="18" t="n">
        <x:v>615.103</x:v>
      </x:c>
      <x:c r="H504" s="18" t="n">
        <x:v>1830.533</x:v>
      </x:c>
      <x:c r="I504" s="2" t="str">
        <x:v>历史图表；最终状态未核验</x:v>
      </x:c>
    </x:row>
    <x:row r="505" ht="24" customHeight="1">
      <x:c r="A505" s="2" t="str">
        <x:v>2021Q4</x:v>
      </x:c>
      <x:c r="B505" s="2" t="str">
        <x:v>Health Care</x:v>
      </x:c>
      <x:c r="C505" s="2" t="str">
        <x:v>医疗保健</x:v>
      </x:c>
      <x:c r="D505" s="16" t="n">
        <x:v>22.258</x:v>
      </x:c>
      <x:c r="E505" s="17" t="str">
        <x:v>曲线近似值</x:v>
      </x:c>
      <x:c r="F505" s="18" t="n">
        <x:v>0.173</x:v>
      </x:c>
      <x:c r="G505" s="18" t="n">
        <x:v>1575.103</x:v>
      </x:c>
      <x:c r="H505" s="18" t="n">
        <x:v>171.493</x:v>
      </x:c>
      <x:c r="I505" s="2" t="str">
        <x:v>历史图表；最终状态未核验</x:v>
      </x:c>
    </x:row>
    <x:row r="506" ht="24" customHeight="1">
      <x:c r="A506" s="2" t="str">
        <x:v>2021Q4</x:v>
      </x:c>
      <x:c r="B506" s="2" t="str">
        <x:v>Industrials</x:v>
      </x:c>
      <x:c r="C506" s="2" t="str">
        <x:v>工业</x:v>
      </x:c>
      <x:c r="D506" s="16" t="n">
        <x:v>7.76</x:v>
      </x:c>
      <x:c r="E506" s="17" t="str">
        <x:v>曲线近似值</x:v>
      </x:c>
      <x:c r="F506" s="18" t="n">
        <x:v>0.1149</x:v>
      </x:c>
      <x:c r="G506" s="18" t="n">
        <x:v>1575.103</x:v>
      </x:c>
      <x:c r="H506" s="18" t="n">
        <x:v>564.425</x:v>
      </x:c>
      <x:c r="I506" s="2" t="str">
        <x:v>历史图表；最终状态未核验</x:v>
      </x:c>
    </x:row>
    <x:row r="507" ht="24" customHeight="1">
      <x:c r="A507" s="2" t="str">
        <x:v>2021Q4</x:v>
      </x:c>
      <x:c r="B507" s="2" t="str">
        <x:v>Information Technology</x:v>
      </x:c>
      <x:c r="C507" s="2" t="str">
        <x:v>信息技术</x:v>
      </x:c>
      <x:c r="D507" s="16" t="n">
        <x:v>29.41</x:v>
      </x:c>
      <x:c r="E507" s="17" t="str">
        <x:v>曲线近似值</x:v>
      </x:c>
      <x:c r="F507" s="18" t="n">
        <x:v>0.5027</x:v>
      </x:c>
      <x:c r="G507" s="18" t="n">
        <x:v>1575.103</x:v>
      </x:c>
      <x:c r="H507" s="18" t="n">
        <x:v>911.488</x:v>
      </x:c>
      <x:c r="I507" s="2" t="str">
        <x:v>历史图表；最终状态未核验</x:v>
      </x:c>
    </x:row>
    <x:row r="508" ht="24" customHeight="1">
      <x:c r="A508" s="2" t="str">
        <x:v>2021Q4</x:v>
      </x:c>
      <x:c r="B508" s="2" t="str">
        <x:v>Materials</x:v>
      </x:c>
      <x:c r="C508" s="2" t="str">
        <x:v>材料</x:v>
      </x:c>
      <x:c r="D508" s="16" t="n">
        <x:v>8.295</x:v>
      </x:c>
      <x:c r="E508" s="17" t="str">
        <x:v>曲线近似值</x:v>
      </x:c>
      <x:c r="F508" s="18" t="n">
        <x:v>0.0719</x:v>
      </x:c>
      <x:c r="G508" s="18" t="n">
        <x:v>1575.103</x:v>
      </x:c>
      <x:c r="H508" s="18" t="n">
        <x:v>1182.008</x:v>
      </x:c>
      <x:c r="I508" s="2" t="str">
        <x:v>历史图表；最终状态未核验</x:v>
      </x:c>
    </x:row>
    <x:row r="509" ht="24" customHeight="1">
      <x:c r="A509" s="2" t="str">
        <x:v>2021Q4</x:v>
      </x:c>
      <x:c r="B509" s="2" t="str">
        <x:v>Real Estate</x:v>
      </x:c>
      <x:c r="C509" s="2" t="str">
        <x:v>房地产</x:v>
      </x:c>
      <x:c r="D509" s="16" t="n">
        <x:v>2.617</x:v>
      </x:c>
      <x:c r="E509" s="17" t="str">
        <x:v>曲线近似值</x:v>
      </x:c>
      <x:c r="F509" s="18" t="n">
        <x:v>0.0115</x:v>
      </x:c>
      <x:c r="G509" s="18" t="n">
        <x:v>1575.103</x:v>
      </x:c>
      <x:c r="H509" s="18" t="n">
        <x:v>1578.799</x:v>
      </x:c>
      <x:c r="I509" s="2" t="str">
        <x:v>历史图表；最终状态未核验</x:v>
      </x:c>
    </x:row>
    <x:row r="510" ht="24" customHeight="1">
      <x:c r="A510" s="2" t="str">
        <x:v>2021Q4</x:v>
      </x:c>
      <x:c r="B510" s="2" t="str">
        <x:v>Utilities</x:v>
      </x:c>
      <x:c r="C510" s="2" t="str">
        <x:v>公用事业</x:v>
      </x:c>
      <x:c r="D510" s="16" t="n">
        <x:v>3.105</x:v>
      </x:c>
      <x:c r="E510" s="17" t="str">
        <x:v>曲线近似值</x:v>
      </x:c>
      <x:c r="F510" s="18" t="n">
        <x:v>0.036</x:v>
      </x:c>
      <x:c r="G510" s="18" t="n">
        <x:v>1575.103</x:v>
      </x:c>
      <x:c r="H510" s="18" t="n">
        <x:v>1953.562</x:v>
      </x:c>
      <x:c r="I510" s="2" t="str">
        <x:v>历史图表；最终状态未核验</x:v>
      </x:c>
    </x:row>
    <x:row r="511" ht="24" customHeight="1">
      <x:c r="A511" s="2" t="str">
        <x:v>2022Q1</x:v>
      </x:c>
      <x:c r="B511" s="2" t="str">
        <x:v>Communication Services</x:v>
      </x:c>
      <x:c r="C511" s="2" t="str">
        <x:v>通信服务</x:v>
      </x:c>
      <x:c r="D511" s="16" t="n">
        <x:v>2.961</x:v>
      </x:c>
      <x:c r="E511" s="17" t="str">
        <x:v>曲线近似值</x:v>
      </x:c>
      <x:c r="F511" s="18" t="n">
        <x:v>0.0862</x:v>
      </x:c>
      <x:c r="G511" s="18" t="n">
        <x:v>627.183</x:v>
      </x:c>
      <x:c r="H511" s="18" t="n">
        <x:v>630.787</x:v>
      </x:c>
      <x:c r="I511" s="2" t="str">
        <x:v>历史图表；最终状态未核验</x:v>
      </x:c>
    </x:row>
    <x:row r="512" ht="24" customHeight="1">
      <x:c r="A512" s="2" t="str">
        <x:v>2022Q1</x:v>
      </x:c>
      <x:c r="B512" s="2" t="str">
        <x:v>Consumer Discretionary</x:v>
      </x:c>
      <x:c r="C512" s="2" t="str">
        <x:v>可选消费</x:v>
      </x:c>
      <x:c r="D512" s="16" t="n">
        <x:v>7.148</x:v>
      </x:c>
      <x:c r="E512" s="17" t="str">
        <x:v>曲线近似值</x:v>
      </x:c>
      <x:c r="F512" s="18" t="n">
        <x:v>0.2154</x:v>
      </x:c>
      <x:c r="G512" s="18" t="n">
        <x:v>627.183</x:v>
      </x:c>
      <x:c r="H512" s="18" t="n">
        <x:v>962.147</x:v>
      </x:c>
      <x:c r="I512" s="2" t="str">
        <x:v>历史图表；最终状态未核验</x:v>
      </x:c>
    </x:row>
    <x:row r="513" ht="24" customHeight="1">
      <x:c r="A513" s="2" t="str">
        <x:v>2022Q1</x:v>
      </x:c>
      <x:c r="B513" s="2" t="str">
        <x:v>Consumer Staples</x:v>
      </x:c>
      <x:c r="C513" s="2" t="str">
        <x:v>必需消费</x:v>
      </x:c>
      <x:c r="D513" s="16" t="n">
        <x:v>8.768</x:v>
      </x:c>
      <x:c r="E513" s="17" t="str">
        <x:v>曲线近似值</x:v>
      </x:c>
      <x:c r="F513" s="18" t="n">
        <x:v>0.0504</x:v>
      </x:c>
      <x:c r="G513" s="18" t="n">
        <x:v>627.183</x:v>
      </x:c>
      <x:c r="H513" s="18" t="n">
        <x:v>1167.625</x:v>
      </x:c>
      <x:c r="I513" s="2" t="str">
        <x:v>历史图表；最终状态未核验</x:v>
      </x:c>
    </x:row>
    <x:row r="514" ht="24" customHeight="1">
      <x:c r="A514" s="2" t="str">
        <x:v>2022Q1</x:v>
      </x:c>
      <x:c r="B514" s="2" t="str">
        <x:v>Energy</x:v>
      </x:c>
      <x:c r="C514" s="2" t="str">
        <x:v>能源</x:v>
      </x:c>
      <x:c r="D514" s="16" t="n">
        <x:v>13.735</x:v>
      </x:c>
      <x:c r="E514" s="17" t="str">
        <x:v>曲线近似值</x:v>
      </x:c>
      <x:c r="F514" s="18" t="n">
        <x:v>0.2158</x:v>
      </x:c>
      <x:c r="G514" s="18" t="n">
        <x:v>627.183</x:v>
      </x:c>
      <x:c r="H514" s="18" t="n">
        <x:v>1512.384</x:v>
      </x:c>
      <x:c r="I514" s="2" t="str">
        <x:v>历史图表；最终状态未核验</x:v>
      </x:c>
    </x:row>
    <x:row r="515" ht="24" customHeight="1">
      <x:c r="A515" s="2" t="str">
        <x:v>2022Q1</x:v>
      </x:c>
      <x:c r="B515" s="2" t="str">
        <x:v>Financials</x:v>
      </x:c>
      <x:c r="C515" s="2" t="str">
        <x:v>金融</x:v>
      </x:c>
      <x:c r="D515" s="16" t="n">
        <x:v>10.753</x:v>
      </x:c>
      <x:c r="E515" s="17" t="str">
        <x:v>曲线近似值</x:v>
      </x:c>
      <x:c r="F515" s="18" t="n">
        <x:v>0.1007</x:v>
      </x:c>
      <x:c r="G515" s="18" t="n">
        <x:v>627.183</x:v>
      </x:c>
      <x:c r="H515" s="18" t="n">
        <x:v>1841.19</x:v>
      </x:c>
      <x:c r="I515" s="2" t="str">
        <x:v>历史图表；最终状态未核验</x:v>
      </x:c>
    </x:row>
    <x:row r="516" ht="24" customHeight="1">
      <x:c r="A516" s="2" t="str">
        <x:v>2022Q1</x:v>
      </x:c>
      <x:c r="B516" s="2" t="str">
        <x:v>Health Care</x:v>
      </x:c>
      <x:c r="C516" s="2" t="str">
        <x:v>医疗保健</x:v>
      </x:c>
      <x:c r="D516" s="16" t="n">
        <x:v>25.158</x:v>
      </x:c>
      <x:c r="E516" s="17" t="str">
        <x:v>曲线近似值</x:v>
      </x:c>
      <x:c r="F516" s="18" t="n">
        <x:v>0.173</x:v>
      </x:c>
      <x:c r="G516" s="18" t="n">
        <x:v>1587.183</x:v>
      </x:c>
      <x:c r="H516" s="18" t="n">
        <x:v>137.978</x:v>
      </x:c>
      <x:c r="I516" s="2" t="str">
        <x:v>历史图表；最终状态未核验</x:v>
      </x:c>
    </x:row>
    <x:row r="517" ht="24" customHeight="1">
      <x:c r="A517" s="2" t="str">
        <x:v>2022Q1</x:v>
      </x:c>
      <x:c r="B517" s="2" t="str">
        <x:v>Industrials</x:v>
      </x:c>
      <x:c r="C517" s="2" t="str">
        <x:v>工业</x:v>
      </x:c>
      <x:c r="D517" s="16" t="n">
        <x:v>7.707</x:v>
      </x:c>
      <x:c r="E517" s="17" t="str">
        <x:v>曲线近似值</x:v>
      </x:c>
      <x:c r="F517" s="18" t="n">
        <x:v>0.1149</x:v>
      </x:c>
      <x:c r="G517" s="18" t="n">
        <x:v>1587.183</x:v>
      </x:c>
      <x:c r="H517" s="18" t="n">
        <x:v>565.353</x:v>
      </x:c>
      <x:c r="I517" s="2" t="str">
        <x:v>历史图表；最终状态未核验</x:v>
      </x:c>
    </x:row>
    <x:row r="518" ht="24" customHeight="1">
      <x:c r="A518" s="2" t="str">
        <x:v>2022Q1</x:v>
      </x:c>
      <x:c r="B518" s="2" t="str">
        <x:v>Information Technology</x:v>
      </x:c>
      <x:c r="C518" s="2" t="str">
        <x:v>信息技术</x:v>
      </x:c>
      <x:c r="D518" s="16" t="n">
        <x:v>26.772</x:v>
      </x:c>
      <x:c r="E518" s="17" t="str">
        <x:v>曲线近似值</x:v>
      </x:c>
      <x:c r="F518" s="18" t="n">
        <x:v>0.5027</x:v>
      </x:c>
      <x:c r="G518" s="18" t="n">
        <x:v>1587.183</x:v>
      </x:c>
      <x:c r="H518" s="18" t="n">
        <x:v>921.985</x:v>
      </x:c>
      <x:c r="I518" s="2" t="str">
        <x:v>历史图表；最终状态未核验</x:v>
      </x:c>
    </x:row>
    <x:row r="519" ht="24" customHeight="1">
      <x:c r="A519" s="2" t="str">
        <x:v>2022Q1</x:v>
      </x:c>
      <x:c r="B519" s="2" t="str">
        <x:v>Materials</x:v>
      </x:c>
      <x:c r="C519" s="2" t="str">
        <x:v>材料</x:v>
      </x:c>
      <x:c r="D519" s="16" t="n">
        <x:v>9.016</x:v>
      </x:c>
      <x:c r="E519" s="17" t="str">
        <x:v>曲线近似值</x:v>
      </x:c>
      <x:c r="F519" s="18" t="n">
        <x:v>0.0719</x:v>
      </x:c>
      <x:c r="G519" s="18" t="n">
        <x:v>1587.183</x:v>
      </x:c>
      <x:c r="H519" s="18" t="n">
        <x:v>1161.966</x:v>
      </x:c>
      <x:c r="I519" s="2" t="str">
        <x:v>历史图表；最终状态未核验</x:v>
      </x:c>
    </x:row>
    <x:row r="520" ht="24" customHeight="1">
      <x:c r="A520" s="2" t="str">
        <x:v>2022Q1</x:v>
      </x:c>
      <x:c r="B520" s="2" t="str">
        <x:v>Real Estate</x:v>
      </x:c>
      <x:c r="C520" s="2" t="str">
        <x:v>房地产</x:v>
      </x:c>
      <x:c r="D520" s="16" t="n">
        <x:v>3.177</x:v>
      </x:c>
      <x:c r="E520" s="17" t="str">
        <x:v>曲线近似值</x:v>
      </x:c>
      <x:c r="F520" s="18" t="n">
        <x:v>0.0115</x:v>
      </x:c>
      <x:c r="G520" s="18" t="n">
        <x:v>1587.183</x:v>
      </x:c>
      <x:c r="H520" s="18" t="n">
        <x:v>1481.461</x:v>
      </x:c>
      <x:c r="I520" s="2" t="str">
        <x:v>历史图表；最终状态未核验</x:v>
      </x:c>
    </x:row>
    <x:row r="521" ht="24" customHeight="1">
      <x:c r="A521" s="2" t="str">
        <x:v>2022Q1</x:v>
      </x:c>
      <x:c r="B521" s="2" t="str">
        <x:v>Utilities</x:v>
      </x:c>
      <x:c r="C521" s="2" t="str">
        <x:v>公用事业</x:v>
      </x:c>
      <x:c r="D521" s="16" t="n">
        <x:v>5.322</x:v>
      </x:c>
      <x:c r="E521" s="17" t="str">
        <x:v>曲线近似值</x:v>
      </x:c>
      <x:c r="F521" s="18" t="n">
        <x:v>0.036</x:v>
      </x:c>
      <x:c r="G521" s="18" t="n">
        <x:v>1587.183</x:v>
      </x:c>
      <x:c r="H521" s="18" t="n">
        <x:v>1830.3</x:v>
      </x:c>
      <x:c r="I521" s="2" t="str">
        <x:v>历史图表；最终状态未核验</x:v>
      </x:c>
    </x:row>
    <x:row r="522" ht="24" customHeight="1">
      <x:c r="A522" s="2" t="str">
        <x:v>2022Q2</x:v>
      </x:c>
      <x:c r="B522" s="2" t="str">
        <x:v>Communication Services</x:v>
      </x:c>
      <x:c r="C522" s="2" t="str">
        <x:v>通信服务</x:v>
      </x:c>
      <x:c r="D522" s="16" t="n">
        <x:v>2.519</x:v>
      </x:c>
      <x:c r="E522" s="17" t="str">
        <x:v>曲线近似值</x:v>
      </x:c>
      <x:c r="F522" s="18" t="n">
        <x:v>0.0862</x:v>
      </x:c>
      <x:c r="G522" s="18" t="n">
        <x:v>639.069</x:v>
      </x:c>
      <x:c r="H522" s="18" t="n">
        <x:v>641.027</x:v>
      </x:c>
      <x:c r="I522" s="2" t="str">
        <x:v>历史图表；最终状态未核验</x:v>
      </x:c>
    </x:row>
    <x:row r="523" ht="24" customHeight="1">
      <x:c r="A523" s="2" t="str">
        <x:v>2022Q2</x:v>
      </x:c>
      <x:c r="B523" s="2" t="str">
        <x:v>Consumer Discretionary</x:v>
      </x:c>
      <x:c r="C523" s="2" t="str">
        <x:v>可选消费</x:v>
      </x:c>
      <x:c r="D523" s="16" t="n">
        <x:v>9.107</x:v>
      </x:c>
      <x:c r="E523" s="17" t="str">
        <x:v>曲线近似值</x:v>
      </x:c>
      <x:c r="F523" s="18" t="n">
        <x:v>0.2154</x:v>
      </x:c>
      <x:c r="G523" s="18" t="n">
        <x:v>639.069</x:v>
      </x:c>
      <x:c r="H523" s="18" t="n">
        <x:v>943.953</x:v>
      </x:c>
      <x:c r="I523" s="2" t="str">
        <x:v>历史图表；最终状态未核验</x:v>
      </x:c>
    </x:row>
    <x:row r="524" ht="24" customHeight="1">
      <x:c r="A524" s="2" t="str">
        <x:v>2022Q2</x:v>
      </x:c>
      <x:c r="B524" s="2" t="str">
        <x:v>Consumer Staples</x:v>
      </x:c>
      <x:c r="C524" s="2" t="str">
        <x:v>必需消费</x:v>
      </x:c>
      <x:c r="D524" s="16" t="n">
        <x:v>8.937</x:v>
      </x:c>
      <x:c r="E524" s="17" t="str">
        <x:v>曲线近似值</x:v>
      </x:c>
      <x:c r="F524" s="18" t="n">
        <x:v>0.0504</x:v>
      </x:c>
      <x:c r="G524" s="18" t="n">
        <x:v>639.069</x:v>
      </x:c>
      <x:c r="H524" s="18" t="n">
        <x:v>1160.94</x:v>
      </x:c>
      <x:c r="I524" s="2" t="str">
        <x:v>历史图表；最终状态未核验</x:v>
      </x:c>
    </x:row>
    <x:row r="525" ht="24" customHeight="1">
      <x:c r="A525" s="2" t="str">
        <x:v>2022Q2</x:v>
      </x:c>
      <x:c r="B525" s="2" t="str">
        <x:v>Energy</x:v>
      </x:c>
      <x:c r="C525" s="2" t="str">
        <x:v>能源</x:v>
      </x:c>
      <x:c r="D525" s="16" t="n">
        <x:v>23.833</x:v>
      </x:c>
      <x:c r="E525" s="17" t="str">
        <x:v>曲线近似值</x:v>
      </x:c>
      <x:c r="F525" s="18" t="n">
        <x:v>0.2158</x:v>
      </x:c>
      <x:c r="G525" s="18" t="n">
        <x:v>639.069</x:v>
      </x:c>
      <x:c r="H525" s="18" t="n">
        <x:v>1418.818</x:v>
      </x:c>
      <x:c r="I525" s="2" t="str">
        <x:v>历史图表；最终状态未核验</x:v>
      </x:c>
    </x:row>
    <x:row r="526" ht="24" customHeight="1">
      <x:c r="A526" s="2" t="str">
        <x:v>2022Q2</x:v>
      </x:c>
      <x:c r="B526" s="2" t="str">
        <x:v>Financials</x:v>
      </x:c>
      <x:c r="C526" s="2" t="str">
        <x:v>金融</x:v>
      </x:c>
      <x:c r="D526" s="16" t="n">
        <x:v>10.156</x:v>
      </x:c>
      <x:c r="E526" s="17" t="str">
        <x:v>曲线近似值</x:v>
      </x:c>
      <x:c r="F526" s="18" t="n">
        <x:v>0.1007</x:v>
      </x:c>
      <x:c r="G526" s="18" t="n">
        <x:v>639.069</x:v>
      </x:c>
      <x:c r="H526" s="18" t="n">
        <x:v>1853.053</x:v>
      </x:c>
      <x:c r="I526" s="2" t="str">
        <x:v>历史图表；最终状态未核验</x:v>
      </x:c>
    </x:row>
    <x:row r="527" ht="24" customHeight="1">
      <x:c r="A527" s="2" t="str">
        <x:v>2022Q2</x:v>
      </x:c>
      <x:c r="B527" s="2" t="str">
        <x:v>Health Care</x:v>
      </x:c>
      <x:c r="C527" s="2" t="str">
        <x:v>医疗保健</x:v>
      </x:c>
      <x:c r="D527" s="16" t="n">
        <x:v>24.369</x:v>
      </x:c>
      <x:c r="E527" s="17" t="str">
        <x:v>曲线近似值</x:v>
      </x:c>
      <x:c r="F527" s="18" t="n">
        <x:v>0.173</x:v>
      </x:c>
      <x:c r="G527" s="18" t="n">
        <x:v>1599.069</x:v>
      </x:c>
      <x:c r="H527" s="18" t="n">
        <x:v>147.099</x:v>
      </x:c>
      <x:c r="I527" s="2" t="str">
        <x:v>历史图表；最终状态未核验</x:v>
      </x:c>
    </x:row>
    <x:row r="528" ht="24" customHeight="1">
      <x:c r="A528" s="2" t="str">
        <x:v>2022Q2</x:v>
      </x:c>
      <x:c r="B528" s="2" t="str">
        <x:v>Industrials</x:v>
      </x:c>
      <x:c r="C528" s="2" t="str">
        <x:v>工业</x:v>
      </x:c>
      <x:c r="D528" s="16" t="n">
        <x:v>11.096</x:v>
      </x:c>
      <x:c r="E528" s="17" t="str">
        <x:v>曲线近似值</x:v>
      </x:c>
      <x:c r="F528" s="18" t="n">
        <x:v>0.1149</x:v>
      </x:c>
      <x:c r="G528" s="18" t="n">
        <x:v>1599.069</x:v>
      </x:c>
      <x:c r="H528" s="18" t="n">
        <x:v>506.361</x:v>
      </x:c>
      <x:c r="I528" s="2" t="str">
        <x:v>历史图表；最终状态未核验</x:v>
      </x:c>
    </x:row>
    <x:row r="529" ht="24" customHeight="1">
      <x:c r="A529" s="2" t="str">
        <x:v>2022Q2</x:v>
      </x:c>
      <x:c r="B529" s="2" t="str">
        <x:v>Information Technology</x:v>
      </x:c>
      <x:c r="C529" s="2" t="str">
        <x:v>信息技术</x:v>
      </x:c>
      <x:c r="D529" s="16" t="n">
        <x:v>24.214</x:v>
      </x:c>
      <x:c r="E529" s="17" t="str">
        <x:v>曲线近似值</x:v>
      </x:c>
      <x:c r="F529" s="18" t="n">
        <x:v>0.5027</x:v>
      </x:c>
      <x:c r="G529" s="18" t="n">
        <x:v>1599.069</x:v>
      </x:c>
      <x:c r="H529" s="18" t="n">
        <x:v>932.161</x:v>
      </x:c>
      <x:c r="I529" s="2" t="str">
        <x:v>历史图表；最终状态未核验</x:v>
      </x:c>
    </x:row>
    <x:row r="530" ht="24" customHeight="1">
      <x:c r="A530" s="2" t="str">
        <x:v>2022Q2</x:v>
      </x:c>
      <x:c r="B530" s="2" t="str">
        <x:v>Materials</x:v>
      </x:c>
      <x:c r="C530" s="2" t="str">
        <x:v>材料</x:v>
      </x:c>
      <x:c r="D530" s="16" t="n">
        <x:v>10.343</x:v>
      </x:c>
      <x:c r="E530" s="17" t="str">
        <x:v>曲线近似值</x:v>
      </x:c>
      <x:c r="F530" s="18" t="n">
        <x:v>0.0719</x:v>
      </x:c>
      <x:c r="G530" s="18" t="n">
        <x:v>1599.069</x:v>
      </x:c>
      <x:c r="H530" s="18" t="n">
        <x:v>1125.069</x:v>
      </x:c>
      <x:c r="I530" s="2" t="str">
        <x:v>历史图表；最终状态未核验</x:v>
      </x:c>
    </x:row>
    <x:row r="531" ht="24" customHeight="1">
      <x:c r="A531" s="2" t="str">
        <x:v>2022Q2</x:v>
      </x:c>
      <x:c r="B531" s="2" t="str">
        <x:v>Real Estate</x:v>
      </x:c>
      <x:c r="C531" s="2" t="str">
        <x:v>房地产</x:v>
      </x:c>
      <x:c r="D531" s="16" t="n">
        <x:v>3.253</x:v>
      </x:c>
      <x:c r="E531" s="17" t="str">
        <x:v>曲线近似值</x:v>
      </x:c>
      <x:c r="F531" s="18" t="n">
        <x:v>0.0115</x:v>
      </x:c>
      <x:c r="G531" s="18" t="n">
        <x:v>1599.069</x:v>
      </x:c>
      <x:c r="H531" s="18" t="n">
        <x:v>1468.225</x:v>
      </x:c>
      <x:c r="I531" s="2" t="str">
        <x:v>历史图表；最终状态未核验</x:v>
      </x:c>
    </x:row>
    <x:row r="532" ht="24" customHeight="1">
      <x:c r="A532" s="2" t="str">
        <x:v>2022Q2</x:v>
      </x:c>
      <x:c r="B532" s="2" t="str">
        <x:v>Utilities</x:v>
      </x:c>
      <x:c r="C532" s="2" t="str">
        <x:v>公用事业</x:v>
      </x:c>
      <x:c r="D532" s="16" t="n">
        <x:v>3.98</x:v>
      </x:c>
      <x:c r="E532" s="17" t="str">
        <x:v>曲线近似值</x:v>
      </x:c>
      <x:c r="F532" s="18" t="n">
        <x:v>0.036</x:v>
      </x:c>
      <x:c r="G532" s="18" t="n">
        <x:v>1599.069</x:v>
      </x:c>
      <x:c r="H532" s="18" t="n">
        <x:v>1904.92</x:v>
      </x:c>
      <x:c r="I532" s="2" t="str">
        <x:v>历史图表；最终状态未核验</x:v>
      </x:c>
    </x:row>
    <x:row r="533" ht="24" customHeight="1">
      <x:c r="A533" s="2" t="str">
        <x:v>2022Q3</x:v>
      </x:c>
      <x:c r="B533" s="2" t="str">
        <x:v>Communication Services</x:v>
      </x:c>
      <x:c r="C533" s="2" t="str">
        <x:v>通信服务</x:v>
      </x:c>
      <x:c r="D533" s="16" t="n">
        <x:v>2.288</x:v>
      </x:c>
      <x:c r="E533" s="17" t="str">
        <x:v>曲线近似值</x:v>
      </x:c>
      <x:c r="F533" s="18" t="n">
        <x:v>0.0862</x:v>
      </x:c>
      <x:c r="G533" s="18" t="n">
        <x:v>651.131</x:v>
      </x:c>
      <x:c r="H533" s="18" t="n">
        <x:v>646.409</x:v>
      </x:c>
      <x:c r="I533" s="2" t="str">
        <x:v>历史图表；最终状态未核验</x:v>
      </x:c>
    </x:row>
    <x:row r="534" ht="24" customHeight="1">
      <x:c r="A534" s="2" t="str">
        <x:v>2022Q3</x:v>
      </x:c>
      <x:c r="B534" s="2" t="str">
        <x:v>Consumer Discretionary</x:v>
      </x:c>
      <x:c r="C534" s="2" t="str">
        <x:v>可选消费</x:v>
      </x:c>
      <x:c r="D534" s="16" t="n">
        <x:v>10.923</x:v>
      </x:c>
      <x:c r="E534" s="17" t="str">
        <x:v>曲线近似值</x:v>
      </x:c>
      <x:c r="F534" s="18" t="n">
        <x:v>0.2154</x:v>
      </x:c>
      <x:c r="G534" s="18" t="n">
        <x:v>651.131</x:v>
      </x:c>
      <x:c r="H534" s="18" t="n">
        <x:v>927.1</x:v>
      </x:c>
      <x:c r="I534" s="2" t="str">
        <x:v>历史图表；最终状态未核验</x:v>
      </x:c>
    </x:row>
    <x:row r="535" ht="24" customHeight="1">
      <x:c r="A535" s="2" t="str">
        <x:v>2022Q3</x:v>
      </x:c>
      <x:c r="B535" s="2" t="str">
        <x:v>Consumer Staples</x:v>
      </x:c>
      <x:c r="C535" s="2" t="str">
        <x:v>必需消费</x:v>
      </x:c>
      <x:c r="D535" s="16" t="n">
        <x:v>9.295</x:v>
      </x:c>
      <x:c r="E535" s="17" t="str">
        <x:v>曲线近似值</x:v>
      </x:c>
      <x:c r="F535" s="18" t="n">
        <x:v>0.0504</x:v>
      </x:c>
      <x:c r="G535" s="18" t="n">
        <x:v>651.131</x:v>
      </x:c>
      <x:c r="H535" s="18" t="n">
        <x:v>1146.71</x:v>
      </x:c>
      <x:c r="I535" s="2" t="str">
        <x:v>历史图表；最终状态未核验</x:v>
      </x:c>
    </x:row>
    <x:row r="536" ht="24" customHeight="1">
      <x:c r="A536" s="2" t="str">
        <x:v>2022Q3</x:v>
      </x:c>
      <x:c r="B536" s="2" t="str">
        <x:v>Energy</x:v>
      </x:c>
      <x:c r="C536" s="2" t="str">
        <x:v>能源</x:v>
      </x:c>
      <x:c r="D536" s="16" t="n">
        <x:v>23.164</x:v>
      </x:c>
      <x:c r="E536" s="17" t="str">
        <x:v>曲线近似值</x:v>
      </x:c>
      <x:c r="F536" s="18" t="n">
        <x:v>0.2158</x:v>
      </x:c>
      <x:c r="G536" s="18" t="n">
        <x:v>651.131</x:v>
      </x:c>
      <x:c r="H536" s="18" t="n">
        <x:v>1425.014</x:v>
      </x:c>
      <x:c r="I536" s="2" t="str">
        <x:v>历史图表；最终状态未核验</x:v>
      </x:c>
    </x:row>
    <x:row r="537" ht="24" customHeight="1">
      <x:c r="A537" s="2" t="str">
        <x:v>2022Q3</x:v>
      </x:c>
      <x:c r="B537" s="2" t="str">
        <x:v>Financials</x:v>
      </x:c>
      <x:c r="C537" s="2" t="str">
        <x:v>金融</x:v>
      </x:c>
      <x:c r="D537" s="16" t="n">
        <x:v>9.545</x:v>
      </x:c>
      <x:c r="E537" s="17" t="str">
        <x:v>曲线近似值</x:v>
      </x:c>
      <x:c r="F537" s="18" t="n">
        <x:v>0.1007</x:v>
      </x:c>
      <x:c r="G537" s="18" t="n">
        <x:v>651.131</x:v>
      </x:c>
      <x:c r="H537" s="18" t="n">
        <x:v>1865.17</x:v>
      </x:c>
      <x:c r="I537" s="2" t="str">
        <x:v>历史图表；最终状态未核验</x:v>
      </x:c>
    </x:row>
    <x:row r="538" ht="24" customHeight="1">
      <x:c r="A538" s="2" t="str">
        <x:v>2022Q3</x:v>
      </x:c>
      <x:c r="B538" s="2" t="str">
        <x:v>Health Care</x:v>
      </x:c>
      <x:c r="C538" s="2" t="str">
        <x:v>医疗保健</x:v>
      </x:c>
      <x:c r="D538" s="16" t="n">
        <x:v>23.596</x:v>
      </x:c>
      <x:c r="E538" s="17" t="str">
        <x:v>曲线近似值</x:v>
      </x:c>
      <x:c r="F538" s="18" t="n">
        <x:v>0.173</x:v>
      </x:c>
      <x:c r="G538" s="18" t="n">
        <x:v>1611.131</x:v>
      </x:c>
      <x:c r="H538" s="18" t="n">
        <x:v>156.031</x:v>
      </x:c>
      <x:c r="I538" s="2" t="str">
        <x:v>历史图表；最终状态未核验</x:v>
      </x:c>
    </x:row>
    <x:row r="539" ht="24" customHeight="1">
      <x:c r="A539" s="2" t="str">
        <x:v>2022Q3</x:v>
      </x:c>
      <x:c r="B539" s="2" t="str">
        <x:v>Industrials</x:v>
      </x:c>
      <x:c r="C539" s="2" t="str">
        <x:v>工业</x:v>
      </x:c>
      <x:c r="D539" s="16" t="n">
        <x:v>10.467</x:v>
      </x:c>
      <x:c r="E539" s="17" t="str">
        <x:v>曲线近似值</x:v>
      </x:c>
      <x:c r="F539" s="18" t="n">
        <x:v>0.1149</x:v>
      </x:c>
      <x:c r="G539" s="18" t="n">
        <x:v>1611.131</x:v>
      </x:c>
      <x:c r="H539" s="18" t="n">
        <x:v>517.316</x:v>
      </x:c>
      <x:c r="I539" s="2" t="str">
        <x:v>历史图表；最终状态未核验</x:v>
      </x:c>
    </x:row>
    <x:row r="540" ht="24" customHeight="1">
      <x:c r="A540" s="2" t="str">
        <x:v>2022Q3</x:v>
      </x:c>
      <x:c r="B540" s="2" t="str">
        <x:v>Information Technology</x:v>
      </x:c>
      <x:c r="C540" s="2" t="str">
        <x:v>信息技术</x:v>
      </x:c>
      <x:c r="D540" s="16" t="n">
        <x:v>25.183</x:v>
      </x:c>
      <x:c r="E540" s="17" t="str">
        <x:v>曲线近似值</x:v>
      </x:c>
      <x:c r="F540" s="18" t="n">
        <x:v>0.5027</x:v>
      </x:c>
      <x:c r="G540" s="18" t="n">
        <x:v>1611.131</x:v>
      </x:c>
      <x:c r="H540" s="18" t="n">
        <x:v>928.309</x:v>
      </x:c>
      <x:c r="I540" s="2" t="str">
        <x:v>历史图表；最终状态未核验</x:v>
      </x:c>
    </x:row>
    <x:row r="541" ht="24" customHeight="1">
      <x:c r="A541" s="2" t="str">
        <x:v>2022Q3</x:v>
      </x:c>
      <x:c r="B541" s="2" t="str">
        <x:v>Materials</x:v>
      </x:c>
      <x:c r="C541" s="2" t="str">
        <x:v>材料</x:v>
      </x:c>
      <x:c r="D541" s="16" t="n">
        <x:v>7.565</x:v>
      </x:c>
      <x:c r="E541" s="17" t="str">
        <x:v>曲线近似值</x:v>
      </x:c>
      <x:c r="F541" s="18" t="n">
        <x:v>0.0719</x:v>
      </x:c>
      <x:c r="G541" s="18" t="n">
        <x:v>1611.131</x:v>
      </x:c>
      <x:c r="H541" s="18" t="n">
        <x:v>1202.303</x:v>
      </x:c>
      <x:c r="I541" s="2" t="str">
        <x:v>历史图表；最终状态未核验</x:v>
      </x:c>
    </x:row>
    <x:row r="542" ht="24" customHeight="1">
      <x:c r="A542" s="2" t="str">
        <x:v>2022Q3</x:v>
      </x:c>
      <x:c r="B542" s="2" t="str">
        <x:v>Real Estate</x:v>
      </x:c>
      <x:c r="C542" s="2" t="str">
        <x:v>房地产</x:v>
      </x:c>
      <x:c r="D542" s="16" t="n">
        <x:v>3.096</x:v>
      </x:c>
      <x:c r="E542" s="17" t="str">
        <x:v>曲线近似值</x:v>
      </x:c>
      <x:c r="F542" s="18" t="n">
        <x:v>0.0115</x:v>
      </x:c>
      <x:c r="G542" s="18" t="n">
        <x:v>1611.131</x:v>
      </x:c>
      <x:c r="H542" s="18" t="n">
        <x:v>1495.498</x:v>
      </x:c>
      <x:c r="I542" s="2" t="str">
        <x:v>历史图表；最终状态未核验</x:v>
      </x:c>
    </x:row>
    <x:row r="543" ht="24" customHeight="1">
      <x:c r="A543" s="2" t="str">
        <x:v>2022Q3</x:v>
      </x:c>
      <x:c r="B543" s="2" t="str">
        <x:v>Utilities</x:v>
      </x:c>
      <x:c r="C543" s="2" t="str">
        <x:v>公用事业</x:v>
      </x:c>
      <x:c r="D543" s="16" t="n">
        <x:v>5.454</x:v>
      </x:c>
      <x:c r="E543" s="17" t="str">
        <x:v>曲线近似值</x:v>
      </x:c>
      <x:c r="F543" s="18" t="n">
        <x:v>0.036</x:v>
      </x:c>
      <x:c r="G543" s="18" t="n">
        <x:v>1611.131</x:v>
      </x:c>
      <x:c r="H543" s="18" t="n">
        <x:v>1822.983</x:v>
      </x:c>
      <x:c r="I543" s="2" t="str">
        <x:v>历史图表；最终状态未核验</x:v>
      </x:c>
    </x:row>
    <x:row r="544" ht="24" customHeight="1">
      <x:c r="A544" s="2" t="str">
        <x:v>2022Q4</x:v>
      </x:c>
      <x:c r="B544" s="2" t="str">
        <x:v>Communication Services</x:v>
      </x:c>
      <x:c r="C544" s="2" t="str">
        <x:v>通信服务</x:v>
      </x:c>
      <x:c r="D544" s="16" t="n">
        <x:v>2.288</x:v>
      </x:c>
      <x:c r="E544" s="17" t="str">
        <x:v>曲线近似值</x:v>
      </x:c>
      <x:c r="F544" s="18" t="n">
        <x:v>0.0862</x:v>
      </x:c>
      <x:c r="G544" s="18" t="n">
        <x:v>663.12</x:v>
      </x:c>
      <x:c r="H544" s="18" t="n">
        <x:v>646.407</x:v>
      </x:c>
      <x:c r="I544" s="2" t="str">
        <x:v>历史图表；最终状态未核验</x:v>
      </x:c>
    </x:row>
    <x:row r="545" ht="24" customHeight="1">
      <x:c r="A545" s="2" t="str">
        <x:v>2022Q4</x:v>
      </x:c>
      <x:c r="B545" s="2" t="str">
        <x:v>Consumer Discretionary</x:v>
      </x:c>
      <x:c r="C545" s="2" t="str">
        <x:v>可选消费</x:v>
      </x:c>
      <x:c r="D545" s="16" t="n">
        <x:v>9.126</x:v>
      </x:c>
      <x:c r="E545" s="17" t="str">
        <x:v>曲线近似值</x:v>
      </x:c>
      <x:c r="F545" s="18" t="n">
        <x:v>0.2154</x:v>
      </x:c>
      <x:c r="G545" s="18" t="n">
        <x:v>663.12</x:v>
      </x:c>
      <x:c r="H545" s="18" t="n">
        <x:v>943.782</x:v>
      </x:c>
      <x:c r="I545" s="2" t="str">
        <x:v>历史图表；最终状态未核验</x:v>
      </x:c>
    </x:row>
    <x:row r="546" ht="24" customHeight="1">
      <x:c r="A546" s="2" t="str">
        <x:v>2022Q4</x:v>
      </x:c>
      <x:c r="B546" s="2" t="str">
        <x:v>Consumer Staples</x:v>
      </x:c>
      <x:c r="C546" s="2" t="str">
        <x:v>必需消费</x:v>
      </x:c>
      <x:c r="D546" s="16" t="n">
        <x:v>9.555</x:v>
      </x:c>
      <x:c r="E546" s="17" t="str">
        <x:v>曲线近似值</x:v>
      </x:c>
      <x:c r="F546" s="18" t="n">
        <x:v>0.0504</x:v>
      </x:c>
      <x:c r="G546" s="18" t="n">
        <x:v>663.12</x:v>
      </x:c>
      <x:c r="H546" s="18" t="n">
        <x:v>1136.397</x:v>
      </x:c>
      <x:c r="I546" s="2" t="str">
        <x:v>历史图表；最终状态未核验</x:v>
      </x:c>
    </x:row>
    <x:row r="547" ht="24" customHeight="1">
      <x:c r="A547" s="2" t="str">
        <x:v>2022Q4</x:v>
      </x:c>
      <x:c r="B547" s="2" t="str">
        <x:v>Energy</x:v>
      </x:c>
      <x:c r="C547" s="2" t="str">
        <x:v>能源</x:v>
      </x:c>
      <x:c r="D547" s="16" t="n">
        <x:v>18.274</x:v>
      </x:c>
      <x:c r="E547" s="17" t="str">
        <x:v>曲线近似值</x:v>
      </x:c>
      <x:c r="F547" s="18" t="n">
        <x:v>0.2158</x:v>
      </x:c>
      <x:c r="G547" s="18" t="n">
        <x:v>663.12</x:v>
      </x:c>
      <x:c r="H547" s="18" t="n">
        <x:v>1470.325</x:v>
      </x:c>
      <x:c r="I547" s="2" t="str">
        <x:v>历史图表；最终状态未核验</x:v>
      </x:c>
    </x:row>
    <x:row r="548" ht="24" customHeight="1">
      <x:c r="A548" s="2" t="str">
        <x:v>2022Q4</x:v>
      </x:c>
      <x:c r="B548" s="2" t="str">
        <x:v>Financials</x:v>
      </x:c>
      <x:c r="C548" s="2" t="str">
        <x:v>金融</x:v>
      </x:c>
      <x:c r="D548" s="16" t="n">
        <x:v>11.413</x:v>
      </x:c>
      <x:c r="E548" s="17" t="str">
        <x:v>曲线近似值</x:v>
      </x:c>
      <x:c r="F548" s="18" t="n">
        <x:v>0.1007</x:v>
      </x:c>
      <x:c r="G548" s="18" t="n">
        <x:v>663.12</x:v>
      </x:c>
      <x:c r="H548" s="18" t="n">
        <x:v>1828.094</x:v>
      </x:c>
      <x:c r="I548" s="2" t="str">
        <x:v>历史图表；最终状态未核验</x:v>
      </x:c>
    </x:row>
    <x:row r="549" ht="24" customHeight="1">
      <x:c r="A549" s="2" t="str">
        <x:v>2022Q4</x:v>
      </x:c>
      <x:c r="B549" s="2" t="str">
        <x:v>Health Care</x:v>
      </x:c>
      <x:c r="C549" s="2" t="str">
        <x:v>医疗保健</x:v>
      </x:c>
      <x:c r="D549" s="16" t="n">
        <x:v>21.453</x:v>
      </x:c>
      <x:c r="E549" s="17" t="str">
        <x:v>曲线近似值</x:v>
      </x:c>
      <x:c r="F549" s="18" t="n">
        <x:v>0.173</x:v>
      </x:c>
      <x:c r="G549" s="18" t="n">
        <x:v>1623.12</x:v>
      </x:c>
      <x:c r="H549" s="18" t="n">
        <x:v>180.807</x:v>
      </x:c>
      <x:c r="I549" s="2" t="str">
        <x:v>历史图表；最终状态未核验</x:v>
      </x:c>
    </x:row>
    <x:row r="550" ht="24" customHeight="1">
      <x:c r="A550" s="2" t="str">
        <x:v>2022Q4</x:v>
      </x:c>
      <x:c r="B550" s="2" t="str">
        <x:v>Industrials</x:v>
      </x:c>
      <x:c r="C550" s="2" t="str">
        <x:v>工业</x:v>
      </x:c>
      <x:c r="D550" s="16" t="n">
        <x:v>11.344</x:v>
      </x:c>
      <x:c r="E550" s="17" t="str">
        <x:v>曲线近似值</x:v>
      </x:c>
      <x:c r="F550" s="18" t="n">
        <x:v>0.1149</x:v>
      </x:c>
      <x:c r="G550" s="18" t="n">
        <x:v>1623.12</x:v>
      </x:c>
      <x:c r="H550" s="18" t="n">
        <x:v>502.037</x:v>
      </x:c>
      <x:c r="I550" s="2" t="str">
        <x:v>历史图表；最终状态未核验</x:v>
      </x:c>
    </x:row>
    <x:row r="551" ht="24" customHeight="1">
      <x:c r="A551" s="2" t="str">
        <x:v>2022Q4</x:v>
      </x:c>
      <x:c r="B551" s="2" t="str">
        <x:v>Information Technology</x:v>
      </x:c>
      <x:c r="C551" s="2" t="str">
        <x:v>信息技术</x:v>
      </x:c>
      <x:c r="D551" s="16" t="n">
        <x:v>24.175</x:v>
      </x:c>
      <x:c r="E551" s="17" t="str">
        <x:v>曲线近似值</x:v>
      </x:c>
      <x:c r="F551" s="18" t="n">
        <x:v>0.5027</x:v>
      </x:c>
      <x:c r="G551" s="18" t="n">
        <x:v>1623.12</x:v>
      </x:c>
      <x:c r="H551" s="18" t="n">
        <x:v>932.317</x:v>
      </x:c>
      <x:c r="I551" s="2" t="str">
        <x:v>历史图表；最终状态未核验</x:v>
      </x:c>
    </x:row>
    <x:row r="552" ht="24" customHeight="1">
      <x:c r="A552" s="2" t="str">
        <x:v>2022Q4</x:v>
      </x:c>
      <x:c r="B552" s="2" t="str">
        <x:v>Materials</x:v>
      </x:c>
      <x:c r="C552" s="2" t="str">
        <x:v>材料</x:v>
      </x:c>
      <x:c r="D552" s="16" t="n">
        <x:v>6.851</x:v>
      </x:c>
      <x:c r="E552" s="17" t="str">
        <x:v>曲线近似值</x:v>
      </x:c>
      <x:c r="F552" s="18" t="n">
        <x:v>0.0719</x:v>
      </x:c>
      <x:c r="G552" s="18" t="n">
        <x:v>1623.12</x:v>
      </x:c>
      <x:c r="H552" s="18" t="n">
        <x:v>1222.142</x:v>
      </x:c>
      <x:c r="I552" s="2" t="str">
        <x:v>历史图表；最终状态未核验</x:v>
      </x:c>
    </x:row>
    <x:row r="553" ht="24" customHeight="1">
      <x:c r="A553" s="2" t="str">
        <x:v>2022Q4</x:v>
      </x:c>
      <x:c r="B553" s="2" t="str">
        <x:v>Real Estate</x:v>
      </x:c>
      <x:c r="C553" s="2" t="str">
        <x:v>房地产</x:v>
      </x:c>
      <x:c r="D553" s="16" t="n">
        <x:v>2.303</x:v>
      </x:c>
      <x:c r="E553" s="17" t="str">
        <x:v>曲线近似值</x:v>
      </x:c>
      <x:c r="F553" s="18" t="n">
        <x:v>0.0115</x:v>
      </x:c>
      <x:c r="G553" s="18" t="n">
        <x:v>1623.12</x:v>
      </x:c>
      <x:c r="H553" s="18" t="n">
        <x:v>1633.363</x:v>
      </x:c>
      <x:c r="I553" s="2" t="str">
        <x:v>历史图表；最终状态未核验</x:v>
      </x:c>
    </x:row>
    <x:row r="554" ht="24" customHeight="1">
      <x:c r="A554" s="2" t="str">
        <x:v>2022Q4</x:v>
      </x:c>
      <x:c r="B554" s="2" t="str">
        <x:v>Utilities</x:v>
      </x:c>
      <x:c r="C554" s="2" t="str">
        <x:v>公用事业</x:v>
      </x:c>
      <x:c r="D554" s="16" t="n">
        <x:v>3.042</x:v>
      </x:c>
      <x:c r="E554" s="17" t="str">
        <x:v>曲线近似值</x:v>
      </x:c>
      <x:c r="F554" s="18" t="n">
        <x:v>0.036</x:v>
      </x:c>
      <x:c r="G554" s="18" t="n">
        <x:v>1623.12</x:v>
      </x:c>
      <x:c r="H554" s="18" t="n">
        <x:v>1957.092</x:v>
      </x:c>
      <x:c r="I554" s="2" t="str">
        <x:v>历史图表；最终状态未核验</x:v>
      </x:c>
    </x:row>
    <x:row r="555" ht="24" customHeight="1">
      <x:c r="A555" s="2" t="str">
        <x:v>2023Q1</x:v>
      </x:c>
      <x:c r="B555" s="2" t="str">
        <x:v>Communication Services</x:v>
      </x:c>
      <x:c r="C555" s="2" t="str">
        <x:v>通信服务</x:v>
      </x:c>
      <x:c r="D555" s="16" t="n">
        <x:v>2.521</x:v>
      </x:c>
      <x:c r="E555" s="17" t="str">
        <x:v>曲线近似值</x:v>
      </x:c>
      <x:c r="F555" s="18" t="n">
        <x:v>0.0862</x:v>
      </x:c>
      <x:c r="G555" s="18" t="n">
        <x:v>675.034</x:v>
      </x:c>
      <x:c r="H555" s="18" t="n">
        <x:v>640.986</x:v>
      </x:c>
      <x:c r="I555" s="2" t="str">
        <x:v>历史图表；最终状态未核验</x:v>
      </x:c>
    </x:row>
    <x:row r="556" ht="24" customHeight="1">
      <x:c r="A556" s="2" t="str">
        <x:v>2023Q1</x:v>
      </x:c>
      <x:c r="B556" s="2" t="str">
        <x:v>Consumer Discretionary</x:v>
      </x:c>
      <x:c r="C556" s="2" t="str">
        <x:v>可选消费</x:v>
      </x:c>
      <x:c r="D556" s="16" t="n">
        <x:v>9.939</x:v>
      </x:c>
      <x:c r="E556" s="17" t="str">
        <x:v>曲线近似值</x:v>
      </x:c>
      <x:c r="F556" s="18" t="n">
        <x:v>0.2154</x:v>
      </x:c>
      <x:c r="G556" s="18" t="n">
        <x:v>675.034</x:v>
      </x:c>
      <x:c r="H556" s="18" t="n">
        <x:v>936.236</x:v>
      </x:c>
      <x:c r="I556" s="2" t="str">
        <x:v>历史图表；最终状态未核验</x:v>
      </x:c>
    </x:row>
    <x:row r="557" ht="24" customHeight="1">
      <x:c r="A557" s="2" t="str">
        <x:v>2023Q1</x:v>
      </x:c>
      <x:c r="B557" s="2" t="str">
        <x:v>Consumer Staples</x:v>
      </x:c>
      <x:c r="C557" s="2" t="str">
        <x:v>必需消费</x:v>
      </x:c>
      <x:c r="D557" s="16" t="n">
        <x:v>8.9</x:v>
      </x:c>
      <x:c r="E557" s="17" t="str">
        <x:v>曲线近似值</x:v>
      </x:c>
      <x:c r="F557" s="18" t="n">
        <x:v>0.0504</x:v>
      </x:c>
      <x:c r="G557" s="18" t="n">
        <x:v>675.034</x:v>
      </x:c>
      <x:c r="H557" s="18" t="n">
        <x:v>1162.418</x:v>
      </x:c>
      <x:c r="I557" s="2" t="str">
        <x:v>历史图表；最终状态未核验</x:v>
      </x:c>
    </x:row>
    <x:row r="558" ht="24" customHeight="1">
      <x:c r="A558" s="2" t="str">
        <x:v>2023Q1</x:v>
      </x:c>
      <x:c r="B558" s="2" t="str">
        <x:v>Energy</x:v>
      </x:c>
      <x:c r="C558" s="2" t="str">
        <x:v>能源</x:v>
      </x:c>
      <x:c r="D558" s="16" t="n">
        <x:v>16.02</x:v>
      </x:c>
      <x:c r="E558" s="17" t="str">
        <x:v>曲线近似值</x:v>
      </x:c>
      <x:c r="F558" s="18" t="n">
        <x:v>0.2158</x:v>
      </x:c>
      <x:c r="G558" s="18" t="n">
        <x:v>675.034</x:v>
      </x:c>
      <x:c r="H558" s="18" t="n">
        <x:v>1491.219</x:v>
      </x:c>
      <x:c r="I558" s="2" t="str">
        <x:v>历史图表；最终状态未核验</x:v>
      </x:c>
    </x:row>
    <x:row r="559" ht="24" customHeight="1">
      <x:c r="A559" s="2" t="str">
        <x:v>2023Q1</x:v>
      </x:c>
      <x:c r="B559" s="2" t="str">
        <x:v>Financials</x:v>
      </x:c>
      <x:c r="C559" s="2" t="str">
        <x:v>金融</x:v>
      </x:c>
      <x:c r="D559" s="16" t="n">
        <x:v>10.188</x:v>
      </x:c>
      <x:c r="E559" s="17" t="str">
        <x:v>曲线近似值</x:v>
      </x:c>
      <x:c r="F559" s="18" t="n">
        <x:v>0.1007</x:v>
      </x:c>
      <x:c r="G559" s="18" t="n">
        <x:v>675.034</x:v>
      </x:c>
      <x:c r="H559" s="18" t="n">
        <x:v>1852.418</x:v>
      </x:c>
      <x:c r="I559" s="2" t="str">
        <x:v>历史图表；最终状态未核验</x:v>
      </x:c>
    </x:row>
    <x:row r="560" ht="24" customHeight="1">
      <x:c r="A560" s="2" t="str">
        <x:v>2023Q1</x:v>
      </x:c>
      <x:c r="B560" s="2" t="str">
        <x:v>Health Care</x:v>
      </x:c>
      <x:c r="C560" s="2" t="str">
        <x:v>医疗保健</x:v>
      </x:c>
      <x:c r="D560" s="16" t="n">
        <x:v>21.327</x:v>
      </x:c>
      <x:c r="E560" s="17" t="str">
        <x:v>曲线近似值</x:v>
      </x:c>
      <x:c r="F560" s="18" t="n">
        <x:v>0.173</x:v>
      </x:c>
      <x:c r="G560" s="18" t="n">
        <x:v>1635.034</x:v>
      </x:c>
      <x:c r="H560" s="18" t="n">
        <x:v>182.257</x:v>
      </x:c>
      <x:c r="I560" s="2" t="str">
        <x:v>历史图表；最终状态未核验</x:v>
      </x:c>
    </x:row>
    <x:row r="561" ht="24" customHeight="1">
      <x:c r="A561" s="2" t="str">
        <x:v>2023Q1</x:v>
      </x:c>
      <x:c r="B561" s="2" t="str">
        <x:v>Industrials</x:v>
      </x:c>
      <x:c r="C561" s="2" t="str">
        <x:v>工业</x:v>
      </x:c>
      <x:c r="D561" s="16" t="n">
        <x:v>9.945</x:v>
      </x:c>
      <x:c r="E561" s="17" t="str">
        <x:v>曲线近似值</x:v>
      </x:c>
      <x:c r="F561" s="18" t="n">
        <x:v>0.1149</x:v>
      </x:c>
      <x:c r="G561" s="18" t="n">
        <x:v>1635.034</x:v>
      </x:c>
      <x:c r="H561" s="18" t="n">
        <x:v>526.387</x:v>
      </x:c>
      <x:c r="I561" s="2" t="str">
        <x:v>历史图表；最终状态未核验</x:v>
      </x:c>
    </x:row>
    <x:row r="562" ht="24" customHeight="1">
      <x:c r="A562" s="2" t="str">
        <x:v>2023Q1</x:v>
      </x:c>
      <x:c r="B562" s="2" t="str">
        <x:v>Information Technology</x:v>
      </x:c>
      <x:c r="C562" s="2" t="str">
        <x:v>信息技术</x:v>
      </x:c>
      <x:c r="D562" s="16" t="n">
        <x:v>24.13</x:v>
      </x:c>
      <x:c r="E562" s="17" t="str">
        <x:v>曲线近似值</x:v>
      </x:c>
      <x:c r="F562" s="18" t="n">
        <x:v>0.5027</x:v>
      </x:c>
      <x:c r="G562" s="18" t="n">
        <x:v>1635.034</x:v>
      </x:c>
      <x:c r="H562" s="18" t="n">
        <x:v>932.496</x:v>
      </x:c>
      <x:c r="I562" s="2" t="str">
        <x:v>历史图表；最终状态未核验</x:v>
      </x:c>
    </x:row>
    <x:row r="563" ht="24" customHeight="1">
      <x:c r="A563" s="2" t="str">
        <x:v>2023Q1</x:v>
      </x:c>
      <x:c r="B563" s="2" t="str">
        <x:v>Materials</x:v>
      </x:c>
      <x:c r="C563" s="2" t="str">
        <x:v>材料</x:v>
      </x:c>
      <x:c r="D563" s="16" t="n">
        <x:v>7.275</x:v>
      </x:c>
      <x:c r="E563" s="17" t="str">
        <x:v>曲线近似值</x:v>
      </x:c>
      <x:c r="F563" s="18" t="n">
        <x:v>0.0719</x:v>
      </x:c>
      <x:c r="G563" s="18" t="n">
        <x:v>1635.034</x:v>
      </x:c>
      <x:c r="H563" s="18" t="n">
        <x:v>1210.348</x:v>
      </x:c>
      <x:c r="I563" s="2" t="str">
        <x:v>历史图表；最终状态未核验</x:v>
      </x:c>
    </x:row>
    <x:row r="564" ht="24" customHeight="1">
      <x:c r="A564" s="2" t="str">
        <x:v>2023Q1</x:v>
      </x:c>
      <x:c r="B564" s="2" t="str">
        <x:v>Real Estate</x:v>
      </x:c>
      <x:c r="C564" s="2" t="str">
        <x:v>房地产</x:v>
      </x:c>
      <x:c r="D564" s="16" t="n">
        <x:v>2.816</x:v>
      </x:c>
      <x:c r="E564" s="17" t="str">
        <x:v>曲线近似值</x:v>
      </x:c>
      <x:c r="F564" s="18" t="n">
        <x:v>0.0115</x:v>
      </x:c>
      <x:c r="G564" s="18" t="n">
        <x:v>1635.034</x:v>
      </x:c>
      <x:c r="H564" s="18" t="n">
        <x:v>1544.163</x:v>
      </x:c>
      <x:c r="I564" s="2" t="str">
        <x:v>历史图表；最终状态未核验</x:v>
      </x:c>
    </x:row>
    <x:row r="565" ht="24" customHeight="1">
      <x:c r="A565" s="2" t="str">
        <x:v>2023Q1</x:v>
      </x:c>
      <x:c r="B565" s="2" t="str">
        <x:v>Utilities</x:v>
      </x:c>
      <x:c r="C565" s="2" t="str">
        <x:v>公用事业</x:v>
      </x:c>
      <x:c r="D565" s="16" t="n">
        <x:v>4.225</x:v>
      </x:c>
      <x:c r="E565" s="17" t="str">
        <x:v>曲线近似值</x:v>
      </x:c>
      <x:c r="F565" s="18" t="n">
        <x:v>0.036</x:v>
      </x:c>
      <x:c r="G565" s="18" t="n">
        <x:v>1635.034</x:v>
      </x:c>
      <x:c r="H565" s="18" t="n">
        <x:v>1891.294</x:v>
      </x:c>
      <x:c r="I565" s="2" t="str">
        <x:v>历史图表；最终状态未核验</x:v>
      </x:c>
    </x:row>
    <x:row r="566" ht="24" customHeight="1">
      <x:c r="A566" s="2" t="str">
        <x:v>2023Q2</x:v>
      </x:c>
      <x:c r="B566" s="2" t="str">
        <x:v>Communication Services</x:v>
      </x:c>
      <x:c r="C566" s="2" t="str">
        <x:v>通信服务</x:v>
      </x:c>
      <x:c r="D566" s="16" t="n">
        <x:v>2.965</x:v>
      </x:c>
      <x:c r="E566" s="17" t="str">
        <x:v>曲线近似值</x:v>
      </x:c>
      <x:c r="F566" s="18" t="n">
        <x:v>0.0862</x:v>
      </x:c>
      <x:c r="G566" s="18" t="n">
        <x:v>687.081</x:v>
      </x:c>
      <x:c r="H566" s="18" t="n">
        <x:v>630.698</x:v>
      </x:c>
      <x:c r="I566" s="2" t="str">
        <x:v>历史图表；最终状态未核验</x:v>
      </x:c>
    </x:row>
    <x:row r="567" ht="24" customHeight="1">
      <x:c r="A567" s="2" t="str">
        <x:v>2023Q2</x:v>
      </x:c>
      <x:c r="B567" s="2" t="str">
        <x:v>Consumer Discretionary</x:v>
      </x:c>
      <x:c r="C567" s="2" t="str">
        <x:v>可选消费</x:v>
      </x:c>
      <x:c r="D567" s="16" t="n">
        <x:v>13.833</x:v>
      </x:c>
      <x:c r="E567" s="17" t="str">
        <x:v>曲线近似值</x:v>
      </x:c>
      <x:c r="F567" s="18" t="n">
        <x:v>0.2154</x:v>
      </x:c>
      <x:c r="G567" s="18" t="n">
        <x:v>687.081</x:v>
      </x:c>
      <x:c r="H567" s="18" t="n">
        <x:v>900.082</x:v>
      </x:c>
      <x:c r="I567" s="2" t="str">
        <x:v>历史图表；最终状态未核验</x:v>
      </x:c>
    </x:row>
    <x:row r="568" ht="24" customHeight="1">
      <x:c r="A568" s="2" t="str">
        <x:v>2023Q2</x:v>
      </x:c>
      <x:c r="B568" s="2" t="str">
        <x:v>Consumer Staples</x:v>
      </x:c>
      <x:c r="C568" s="2" t="str">
        <x:v>必需消费</x:v>
      </x:c>
      <x:c r="D568" s="16" t="n">
        <x:v>9.488</x:v>
      </x:c>
      <x:c r="E568" s="17" t="str">
        <x:v>曲线近似值</x:v>
      </x:c>
      <x:c r="F568" s="18" t="n">
        <x:v>0.0504</x:v>
      </x:c>
      <x:c r="G568" s="18" t="n">
        <x:v>687.081</x:v>
      </x:c>
      <x:c r="H568" s="18" t="n">
        <x:v>1139.032</x:v>
      </x:c>
      <x:c r="I568" s="2" t="str">
        <x:v>历史图表；最终状态未核验</x:v>
      </x:c>
    </x:row>
    <x:row r="569" ht="24" customHeight="1">
      <x:c r="A569" s="2" t="str">
        <x:v>2023Q2</x:v>
      </x:c>
      <x:c r="B569" s="2" t="str">
        <x:v>Energy</x:v>
      </x:c>
      <x:c r="C569" s="2" t="str">
        <x:v>能源</x:v>
      </x:c>
      <x:c r="D569" s="16" t="n">
        <x:v>12.523</x:v>
      </x:c>
      <x:c r="E569" s="17" t="str">
        <x:v>曲线近似值</x:v>
      </x:c>
      <x:c r="F569" s="18" t="n">
        <x:v>0.2158</x:v>
      </x:c>
      <x:c r="G569" s="18" t="n">
        <x:v>687.081</x:v>
      </x:c>
      <x:c r="H569" s="18" t="n">
        <x:v>1523.62</x:v>
      </x:c>
      <x:c r="I569" s="2" t="str">
        <x:v>历史图表；最终状态未核验</x:v>
      </x:c>
    </x:row>
    <x:row r="570" ht="24" customHeight="1">
      <x:c r="A570" s="2" t="str">
        <x:v>2023Q2</x:v>
      </x:c>
      <x:c r="B570" s="2" t="str">
        <x:v>Financials</x:v>
      </x:c>
      <x:c r="C570" s="2" t="str">
        <x:v>金融</x:v>
      </x:c>
      <x:c r="D570" s="16" t="n">
        <x:v>10.038</x:v>
      </x:c>
      <x:c r="E570" s="17" t="str">
        <x:v>曲线近似值</x:v>
      </x:c>
      <x:c r="F570" s="18" t="n">
        <x:v>0.1007</x:v>
      </x:c>
      <x:c r="G570" s="18" t="n">
        <x:v>687.081</x:v>
      </x:c>
      <x:c r="H570" s="18" t="n">
        <x:v>1855.392</x:v>
      </x:c>
      <x:c r="I570" s="2" t="str">
        <x:v>历史图表；最终状态未核验</x:v>
      </x:c>
    </x:row>
    <x:row r="571" ht="24" customHeight="1">
      <x:c r="A571" s="2" t="str">
        <x:v>2023Q2</x:v>
      </x:c>
      <x:c r="B571" s="2" t="str">
        <x:v>Health Care</x:v>
      </x:c>
      <x:c r="C571" s="2" t="str">
        <x:v>医疗保健</x:v>
      </x:c>
      <x:c r="D571" s="16" t="n">
        <x:v>17.533</x:v>
      </x:c>
      <x:c r="E571" s="17" t="str">
        <x:v>曲线近似值</x:v>
      </x:c>
      <x:c r="F571" s="18" t="n">
        <x:v>0.173</x:v>
      </x:c>
      <x:c r="G571" s="18" t="n">
        <x:v>1647.081</x:v>
      </x:c>
      <x:c r="H571" s="18" t="n">
        <x:v>226.123</x:v>
      </x:c>
      <x:c r="I571" s="2" t="str">
        <x:v>历史图表；最终状态未核验</x:v>
      </x:c>
    </x:row>
    <x:row r="572" ht="24" customHeight="1">
      <x:c r="A572" s="2" t="str">
        <x:v>2023Q2</x:v>
      </x:c>
      <x:c r="B572" s="2" t="str">
        <x:v>Industrials</x:v>
      </x:c>
      <x:c r="C572" s="2" t="str">
        <x:v>工业</x:v>
      </x:c>
      <x:c r="D572" s="16" t="n">
        <x:v>12.612</x:v>
      </x:c>
      <x:c r="E572" s="17" t="str">
        <x:v>曲线近似值</x:v>
      </x:c>
      <x:c r="F572" s="18" t="n">
        <x:v>0.1149</x:v>
      </x:c>
      <x:c r="G572" s="18" t="n">
        <x:v>1647.081</x:v>
      </x:c>
      <x:c r="H572" s="18" t="n">
        <x:v>479.978</x:v>
      </x:c>
      <x:c r="I572" s="2" t="str">
        <x:v>历史图表；最终状态未核验</x:v>
      </x:c>
    </x:row>
    <x:row r="573" ht="24" customHeight="1">
      <x:c r="A573" s="2" t="str">
        <x:v>2023Q2</x:v>
      </x:c>
      <x:c r="B573" s="2" t="str">
        <x:v>Information Technology</x:v>
      </x:c>
      <x:c r="C573" s="2" t="str">
        <x:v>信息技术</x:v>
      </x:c>
      <x:c r="D573" s="16" t="n">
        <x:v>25.547</x:v>
      </x:c>
      <x:c r="E573" s="17" t="str">
        <x:v>曲线近似值</x:v>
      </x:c>
      <x:c r="F573" s="18" t="n">
        <x:v>0.5027</x:v>
      </x:c>
      <x:c r="G573" s="18" t="n">
        <x:v>1647.081</x:v>
      </x:c>
      <x:c r="H573" s="18" t="n">
        <x:v>926.859</x:v>
      </x:c>
      <x:c r="I573" s="2" t="str">
        <x:v>历史图表；最终状态未核验</x:v>
      </x:c>
    </x:row>
    <x:row r="574" ht="24" customHeight="1">
      <x:c r="A574" s="2" t="str">
        <x:v>2023Q2</x:v>
      </x:c>
      <x:c r="B574" s="2" t="str">
        <x:v>Materials</x:v>
      </x:c>
      <x:c r="C574" s="2" t="str">
        <x:v>材料</x:v>
      </x:c>
      <x:c r="D574" s="16" t="n">
        <x:v>7.969</x:v>
      </x:c>
      <x:c r="E574" s="17" t="str">
        <x:v>曲线近似值</x:v>
      </x:c>
      <x:c r="F574" s="18" t="n">
        <x:v>0.0719</x:v>
      </x:c>
      <x:c r="G574" s="18" t="n">
        <x:v>1647.081</x:v>
      </x:c>
      <x:c r="H574" s="18" t="n">
        <x:v>1191.061</x:v>
      </x:c>
      <x:c r="I574" s="2" t="str">
        <x:v>历史图表；最终状态未核验</x:v>
      </x:c>
    </x:row>
    <x:row r="575" ht="24" customHeight="1">
      <x:c r="A575" s="2" t="str">
        <x:v>2023Q2</x:v>
      </x:c>
      <x:c r="B575" s="2" t="str">
        <x:v>Real Estate</x:v>
      </x:c>
      <x:c r="C575" s="2" t="str">
        <x:v>房地产</x:v>
      </x:c>
      <x:c r="D575" s="16" t="n">
        <x:v>3.062</x:v>
      </x:c>
      <x:c r="E575" s="17" t="str">
        <x:v>曲线近似值</x:v>
      </x:c>
      <x:c r="F575" s="18" t="n">
        <x:v>0.0115</x:v>
      </x:c>
      <x:c r="G575" s="18" t="n">
        <x:v>1647.081</x:v>
      </x:c>
      <x:c r="H575" s="18" t="n">
        <x:v>1501.518</x:v>
      </x:c>
      <x:c r="I575" s="2" t="str">
        <x:v>历史图表；最终状态未核验</x:v>
      </x:c>
    </x:row>
    <x:row r="576" ht="24" customHeight="1">
      <x:c r="A576" s="2" t="str">
        <x:v>2023Q2</x:v>
      </x:c>
      <x:c r="B576" s="2" t="str">
        <x:v>Utilities</x:v>
      </x:c>
      <x:c r="C576" s="2" t="str">
        <x:v>公用事业</x:v>
      </x:c>
      <x:c r="D576" s="16" t="n">
        <x:v>4.025</x:v>
      </x:c>
      <x:c r="E576" s="17" t="str">
        <x:v>曲线近似值</x:v>
      </x:c>
      <x:c r="F576" s="18" t="n">
        <x:v>0.036</x:v>
      </x:c>
      <x:c r="G576" s="18" t="n">
        <x:v>1647.081</x:v>
      </x:c>
      <x:c r="H576" s="18" t="n">
        <x:v>1902.397</x:v>
      </x:c>
      <x:c r="I576" s="2" t="str">
        <x:v>历史图表；最终状态未核验</x:v>
      </x:c>
    </x:row>
    <x:row r="577" ht="24" customHeight="1">
      <x:c r="A577" s="2" t="str">
        <x:v>2023Q3</x:v>
      </x:c>
      <x:c r="B577" s="2" t="str">
        <x:v>Communication Services</x:v>
      </x:c>
      <x:c r="C577" s="2" t="str">
        <x:v>通信服务</x:v>
      </x:c>
      <x:c r="D577" s="16" t="n">
        <x:v>3.3</x:v>
      </x:c>
      <x:c r="E577" s="17" t="str">
        <x:v>曲线近似值</x:v>
      </x:c>
      <x:c r="F577" s="18" t="n">
        <x:v>0.0862</x:v>
      </x:c>
      <x:c r="G577" s="18" t="n">
        <x:v>699.097</x:v>
      </x:c>
      <x:c r="H577" s="18" t="n">
        <x:v>622.917</x:v>
      </x:c>
      <x:c r="I577" s="2" t="str">
        <x:v>历史图表；最终状态未核验</x:v>
      </x:c>
    </x:row>
    <x:row r="578" ht="24" customHeight="1">
      <x:c r="A578" s="2" t="str">
        <x:v>2023Q3</x:v>
      </x:c>
      <x:c r="B578" s="2" t="str">
        <x:v>Consumer Discretionary</x:v>
      </x:c>
      <x:c r="C578" s="2" t="str">
        <x:v>可选消费</x:v>
      </x:c>
      <x:c r="D578" s="16" t="n">
        <x:v>15.413</x:v>
      </x:c>
      <x:c r="E578" s="17" t="str">
        <x:v>曲线近似值</x:v>
      </x:c>
      <x:c r="F578" s="18" t="n">
        <x:v>0.2154</x:v>
      </x:c>
      <x:c r="G578" s="18" t="n">
        <x:v>699.097</x:v>
      </x:c>
      <x:c r="H578" s="18" t="n">
        <x:v>885.412</x:v>
      </x:c>
      <x:c r="I578" s="2" t="str">
        <x:v>历史图表；最终状态未核验</x:v>
      </x:c>
    </x:row>
    <x:row r="579" ht="24" customHeight="1">
      <x:c r="A579" s="2" t="str">
        <x:v>2023Q3</x:v>
      </x:c>
      <x:c r="B579" s="2" t="str">
        <x:v>Consumer Staples</x:v>
      </x:c>
      <x:c r="C579" s="2" t="str">
        <x:v>必需消费</x:v>
      </x:c>
      <x:c r="D579" s="16" t="n">
        <x:v>9.751</x:v>
      </x:c>
      <x:c r="E579" s="17" t="str">
        <x:v>曲线近似值</x:v>
      </x:c>
      <x:c r="F579" s="18" t="n">
        <x:v>0.0504</x:v>
      </x:c>
      <x:c r="G579" s="18" t="n">
        <x:v>699.097</x:v>
      </x:c>
      <x:c r="H579" s="18" t="n">
        <x:v>1128.617</x:v>
      </x:c>
      <x:c r="I579" s="2" t="str">
        <x:v>历史图表；最终状态未核验</x:v>
      </x:c>
    </x:row>
    <x:row r="580" ht="24" customHeight="1">
      <x:c r="A580" s="2" t="str">
        <x:v>2023Q3</x:v>
      </x:c>
      <x:c r="B580" s="2" t="str">
        <x:v>Energy</x:v>
      </x:c>
      <x:c r="C580" s="2" t="str">
        <x:v>能源</x:v>
      </x:c>
      <x:c r="D580" s="16" t="n">
        <x:v>15.051</x:v>
      </x:c>
      <x:c r="E580" s="17" t="str">
        <x:v>曲线近似值</x:v>
      </x:c>
      <x:c r="F580" s="18" t="n">
        <x:v>0.2158</x:v>
      </x:c>
      <x:c r="G580" s="18" t="n">
        <x:v>699.097</x:v>
      </x:c>
      <x:c r="H580" s="18" t="n">
        <x:v>1500.194</x:v>
      </x:c>
      <x:c r="I580" s="2" t="str">
        <x:v>历史图表；最终状态未核验</x:v>
      </x:c>
    </x:row>
    <x:row r="581" ht="24" customHeight="1">
      <x:c r="A581" s="2" t="str">
        <x:v>2023Q3</x:v>
      </x:c>
      <x:c r="B581" s="2" t="str">
        <x:v>Financials</x:v>
      </x:c>
      <x:c r="C581" s="2" t="str">
        <x:v>金融</x:v>
      </x:c>
      <x:c r="D581" s="16" t="n">
        <x:v>10.63</x:v>
      </x:c>
      <x:c r="E581" s="17" t="str">
        <x:v>曲线近似值</x:v>
      </x:c>
      <x:c r="F581" s="18" t="n">
        <x:v>0.1007</x:v>
      </x:c>
      <x:c r="G581" s="18" t="n">
        <x:v>699.097</x:v>
      </x:c>
      <x:c r="H581" s="18" t="n">
        <x:v>1843.627</x:v>
      </x:c>
      <x:c r="I581" s="2" t="str">
        <x:v>历史图表；最终状态未核验</x:v>
      </x:c>
    </x:row>
    <x:row r="582" ht="24" customHeight="1">
      <x:c r="A582" s="2" t="str">
        <x:v>2023Q3</x:v>
      </x:c>
      <x:c r="B582" s="2" t="str">
        <x:v>Health Care</x:v>
      </x:c>
      <x:c r="C582" s="2" t="str">
        <x:v>医疗保健</x:v>
      </x:c>
      <x:c r="D582" s="16" t="n">
        <x:v>19.094</x:v>
      </x:c>
      <x:c r="E582" s="17" t="str">
        <x:v>曲线近似值</x:v>
      </x:c>
      <x:c r="F582" s="18" t="n">
        <x:v>0.173</x:v>
      </x:c>
      <x:c r="G582" s="18" t="n">
        <x:v>1659.097</x:v>
      </x:c>
      <x:c r="H582" s="18" t="n">
        <x:v>208.068</x:v>
      </x:c>
      <x:c r="I582" s="2" t="str">
        <x:v>历史图表；最终状态未核验</x:v>
      </x:c>
    </x:row>
    <x:row r="583" ht="24" customHeight="1">
      <x:c r="A583" s="2" t="str">
        <x:v>2023Q3</x:v>
      </x:c>
      <x:c r="B583" s="2" t="str">
        <x:v>Industrials</x:v>
      </x:c>
      <x:c r="C583" s="2" t="str">
        <x:v>工业</x:v>
      </x:c>
      <x:c r="D583" s="16" t="n">
        <x:v>11.579</x:v>
      </x:c>
      <x:c r="E583" s="17" t="str">
        <x:v>曲线近似值</x:v>
      </x:c>
      <x:c r="F583" s="18" t="n">
        <x:v>0.1149</x:v>
      </x:c>
      <x:c r="G583" s="18" t="n">
        <x:v>1659.097</x:v>
      </x:c>
      <x:c r="H583" s="18" t="n">
        <x:v>497.955</x:v>
      </x:c>
      <x:c r="I583" s="2" t="str">
        <x:v>历史图表；最终状态未核验</x:v>
      </x:c>
    </x:row>
    <x:row r="584" ht="24" customHeight="1">
      <x:c r="A584" s="2" t="str">
        <x:v>2023Q3</x:v>
      </x:c>
      <x:c r="B584" s="2" t="str">
        <x:v>Information Technology</x:v>
      </x:c>
      <x:c r="C584" s="2" t="str">
        <x:v>信息技术</x:v>
      </x:c>
      <x:c r="D584" s="16" t="n">
        <x:v>28.529</x:v>
      </x:c>
      <x:c r="E584" s="17" t="str">
        <x:v>曲线近似值</x:v>
      </x:c>
      <x:c r="F584" s="18" t="n">
        <x:v>0.5027</x:v>
      </x:c>
      <x:c r="G584" s="18" t="n">
        <x:v>1659.097</x:v>
      </x:c>
      <x:c r="H584" s="18" t="n">
        <x:v>914.994</x:v>
      </x:c>
      <x:c r="I584" s="2" t="str">
        <x:v>历史图表；最终状态未核验</x:v>
      </x:c>
    </x:row>
    <x:row r="585" ht="24" customHeight="1">
      <x:c r="A585" s="2" t="str">
        <x:v>2023Q3</x:v>
      </x:c>
      <x:c r="B585" s="2" t="str">
        <x:v>Materials</x:v>
      </x:c>
      <x:c r="C585" s="2" t="str">
        <x:v>材料</x:v>
      </x:c>
      <x:c r="D585" s="16" t="n">
        <x:v>6.481</x:v>
      </x:c>
      <x:c r="E585" s="17" t="str">
        <x:v>曲线近似值</x:v>
      </x:c>
      <x:c r="F585" s="18" t="n">
        <x:v>0.0719</x:v>
      </x:c>
      <x:c r="G585" s="18" t="n">
        <x:v>1659.097</x:v>
      </x:c>
      <x:c r="H585" s="18" t="n">
        <x:v>1232.425</x:v>
      </x:c>
      <x:c r="I585" s="2" t="str">
        <x:v>历史图表；最终状态未核验</x:v>
      </x:c>
    </x:row>
    <x:row r="586" ht="24" customHeight="1">
      <x:c r="A586" s="2" t="str">
        <x:v>2023Q3</x:v>
      </x:c>
      <x:c r="B586" s="2" t="str">
        <x:v>Real Estate</x:v>
      </x:c>
      <x:c r="C586" s="2" t="str">
        <x:v>房地产</x:v>
      </x:c>
      <x:c r="D586" s="16" t="n">
        <x:v>2.852</x:v>
      </x:c>
      <x:c r="E586" s="17" t="str">
        <x:v>曲线近似值</x:v>
      </x:c>
      <x:c r="F586" s="18" t="n">
        <x:v>0.0115</x:v>
      </x:c>
      <x:c r="G586" s="18" t="n">
        <x:v>1659.097</x:v>
      </x:c>
      <x:c r="H586" s="18" t="n">
        <x:v>1538.04</x:v>
      </x:c>
      <x:c r="I586" s="2" t="str">
        <x:v>历史图表；最终状态未核验</x:v>
      </x:c>
    </x:row>
    <x:row r="587" ht="24" customHeight="1">
      <x:c r="A587" s="2" t="str">
        <x:v>2023Q3</x:v>
      </x:c>
      <x:c r="B587" s="2" t="str">
        <x:v>Utilities</x:v>
      </x:c>
      <x:c r="C587" s="2" t="str">
        <x:v>公用事业</x:v>
      </x:c>
      <x:c r="D587" s="16" t="n">
        <x:v>5.809</x:v>
      </x:c>
      <x:c r="E587" s="17" t="str">
        <x:v>曲线近似值</x:v>
      </x:c>
      <x:c r="F587" s="18" t="n">
        <x:v>0.036</x:v>
      </x:c>
      <x:c r="G587" s="18" t="n">
        <x:v>1659.097</x:v>
      </x:c>
      <x:c r="H587" s="18" t="n">
        <x:v>1803.203</x:v>
      </x:c>
      <x:c r="I587" s="2" t="str">
        <x:v>历史图表；最终状态未核验</x:v>
      </x:c>
    </x:row>
    <x:row r="588" ht="24" customHeight="1">
      <x:c r="A588" s="2" t="str">
        <x:v>2023Q4</x:v>
      </x:c>
      <x:c r="B588" s="2" t="str">
        <x:v>Communication Services</x:v>
      </x:c>
      <x:c r="C588" s="2" t="str">
        <x:v>通信服务</x:v>
      </x:c>
      <x:c r="D588" s="16" t="n">
        <x:v>3.42</x:v>
      </x:c>
      <x:c r="E588" s="17" t="str">
        <x:v>曲线近似值</x:v>
      </x:c>
      <x:c r="F588" s="18" t="n">
        <x:v>0.0862</x:v>
      </x:c>
      <x:c r="G588" s="18" t="n">
        <x:v>711.116</x:v>
      </x:c>
      <x:c r="H588" s="18" t="n">
        <x:v>620.138</x:v>
      </x:c>
      <x:c r="I588" s="2" t="str">
        <x:v>历史图表；最终状态未核验</x:v>
      </x:c>
    </x:row>
    <x:row r="589" ht="24" customHeight="1">
      <x:c r="A589" s="2" t="str">
        <x:v>2023Q4</x:v>
      </x:c>
      <x:c r="B589" s="2" t="str">
        <x:v>Consumer Discretionary</x:v>
      </x:c>
      <x:c r="C589" s="2" t="str">
        <x:v>可选消费</x:v>
      </x:c>
      <x:c r="D589" s="16" t="n">
        <x:v>12.594</x:v>
      </x:c>
      <x:c r="E589" s="17" t="str">
        <x:v>曲线近似值</x:v>
      </x:c>
      <x:c r="F589" s="18" t="n">
        <x:v>0.2154</x:v>
      </x:c>
      <x:c r="G589" s="18" t="n">
        <x:v>711.116</x:v>
      </x:c>
      <x:c r="H589" s="18" t="n">
        <x:v>911.585</x:v>
      </x:c>
      <x:c r="I589" s="2" t="str">
        <x:v>历史图表；最终状态未核验</x:v>
      </x:c>
    </x:row>
    <x:row r="590" ht="24" customHeight="1">
      <x:c r="A590" s="2" t="str">
        <x:v>2023Q4</x:v>
      </x:c>
      <x:c r="B590" s="2" t="str">
        <x:v>Consumer Staples</x:v>
      </x:c>
      <x:c r="C590" s="2" t="str">
        <x:v>必需消费</x:v>
      </x:c>
      <x:c r="D590" s="16" t="n">
        <x:v>9.391</x:v>
      </x:c>
      <x:c r="E590" s="17" t="str">
        <x:v>曲线近似值</x:v>
      </x:c>
      <x:c r="F590" s="18" t="n">
        <x:v>0.0504</x:v>
      </x:c>
      <x:c r="G590" s="18" t="n">
        <x:v>711.116</x:v>
      </x:c>
      <x:c r="H590" s="18" t="n">
        <x:v>1142.881</x:v>
      </x:c>
      <x:c r="I590" s="2" t="str">
        <x:v>历史图表；最终状态未核验</x:v>
      </x:c>
    </x:row>
    <x:row r="591" ht="24" customHeight="1">
      <x:c r="A591" s="2" t="str">
        <x:v>2023Q4</x:v>
      </x:c>
      <x:c r="B591" s="2" t="str">
        <x:v>Energy</x:v>
      </x:c>
      <x:c r="C591" s="2" t="str">
        <x:v>能源</x:v>
      </x:c>
      <x:c r="D591" s="16" t="n">
        <x:v>14.038</x:v>
      </x:c>
      <x:c r="E591" s="17" t="str">
        <x:v>曲线近似值</x:v>
      </x:c>
      <x:c r="F591" s="18" t="n">
        <x:v>0.2158</x:v>
      </x:c>
      <x:c r="G591" s="18" t="n">
        <x:v>711.116</x:v>
      </x:c>
      <x:c r="H591" s="18" t="n">
        <x:v>1509.585</x:v>
      </x:c>
      <x:c r="I591" s="2" t="str">
        <x:v>历史图表；最终状态未核验</x:v>
      </x:c>
    </x:row>
    <x:row r="592" ht="24" customHeight="1">
      <x:c r="A592" s="2" t="str">
        <x:v>2023Q4</x:v>
      </x:c>
      <x:c r="B592" s="2" t="str">
        <x:v>Financials</x:v>
      </x:c>
      <x:c r="C592" s="2" t="str">
        <x:v>金融</x:v>
      </x:c>
      <x:c r="D592" s="16" t="n">
        <x:v>9.595</x:v>
      </x:c>
      <x:c r="E592" s="17" t="str">
        <x:v>曲线近似值</x:v>
      </x:c>
      <x:c r="F592" s="18" t="n">
        <x:v>0.1007</x:v>
      </x:c>
      <x:c r="G592" s="18" t="n">
        <x:v>711.116</x:v>
      </x:c>
      <x:c r="H592" s="18" t="n">
        <x:v>1864.175</x:v>
      </x:c>
      <x:c r="I592" s="2" t="str">
        <x:v>历史图表；最终状态未核验</x:v>
      </x:c>
    </x:row>
    <x:row r="593" ht="24" customHeight="1">
      <x:c r="A593" s="2" t="str">
        <x:v>2023Q4</x:v>
      </x:c>
      <x:c r="B593" s="2" t="str">
        <x:v>Health Care</x:v>
      </x:c>
      <x:c r="C593" s="2" t="str">
        <x:v>医疗保健</x:v>
      </x:c>
      <x:c r="D593" s="16" t="n">
        <x:v>18.049</x:v>
      </x:c>
      <x:c r="E593" s="17" t="str">
        <x:v>曲线近似值</x:v>
      </x:c>
      <x:c r="F593" s="18" t="n">
        <x:v>0.173</x:v>
      </x:c>
      <x:c r="G593" s="18" t="n">
        <x:v>1671.116</x:v>
      </x:c>
      <x:c r="H593" s="18" t="n">
        <x:v>220.149</x:v>
      </x:c>
      <x:c r="I593" s="2" t="str">
        <x:v>历史图表；最终状态未核验</x:v>
      </x:c>
    </x:row>
    <x:row r="594" ht="24" customHeight="1">
      <x:c r="A594" s="2" t="str">
        <x:v>2023Q4</x:v>
      </x:c>
      <x:c r="B594" s="2" t="str">
        <x:v>Industrials</x:v>
      </x:c>
      <x:c r="C594" s="2" t="str">
        <x:v>工业</x:v>
      </x:c>
      <x:c r="D594" s="16" t="n">
        <x:v>11.345</x:v>
      </x:c>
      <x:c r="E594" s="17" t="str">
        <x:v>曲线近似值</x:v>
      </x:c>
      <x:c r="F594" s="18" t="n">
        <x:v>0.1149</x:v>
      </x:c>
      <x:c r="G594" s="18" t="n">
        <x:v>1671.116</x:v>
      </x:c>
      <x:c r="H594" s="18" t="n">
        <x:v>502.028</x:v>
      </x:c>
      <x:c r="I594" s="2" t="str">
        <x:v>历史图表；最终状态未核验</x:v>
      </x:c>
    </x:row>
    <x:row r="595" ht="24" customHeight="1">
      <x:c r="A595" s="2" t="str">
        <x:v>2023Q4</x:v>
      </x:c>
      <x:c r="B595" s="2" t="str">
        <x:v>Information Technology</x:v>
      </x:c>
      <x:c r="C595" s="2" t="str">
        <x:v>信息技术</x:v>
      </x:c>
      <x:c r="D595" s="16" t="n">
        <x:v>33.248</x:v>
      </x:c>
      <x:c r="E595" s="17" t="str">
        <x:v>曲线近似值</x:v>
      </x:c>
      <x:c r="F595" s="18" t="n">
        <x:v>0.5027</x:v>
      </x:c>
      <x:c r="G595" s="18" t="n">
        <x:v>1671.116</x:v>
      </x:c>
      <x:c r="H595" s="18" t="n">
        <x:v>896.22</x:v>
      </x:c>
      <x:c r="I595" s="2" t="str">
        <x:v>历史图表；最终状态未核验</x:v>
      </x:c>
    </x:row>
    <x:row r="596" ht="24" customHeight="1">
      <x:c r="A596" s="2" t="str">
        <x:v>2023Q4</x:v>
      </x:c>
      <x:c r="B596" s="2" t="str">
        <x:v>Materials</x:v>
      </x:c>
      <x:c r="C596" s="2" t="str">
        <x:v>材料</x:v>
      </x:c>
      <x:c r="D596" s="16" t="n">
        <x:v>5.44</x:v>
      </x:c>
      <x:c r="E596" s="17" t="str">
        <x:v>曲线近似值</x:v>
      </x:c>
      <x:c r="F596" s="18" t="n">
        <x:v>0.0719</x:v>
      </x:c>
      <x:c r="G596" s="18" t="n">
        <x:v>1671.116</x:v>
      </x:c>
      <x:c r="H596" s="18" t="n">
        <x:v>1261.364</x:v>
      </x:c>
      <x:c r="I596" s="2" t="str">
        <x:v>历史图表；最终状态未核验</x:v>
      </x:c>
    </x:row>
    <x:row r="597" ht="24" customHeight="1">
      <x:c r="A597" s="2" t="str">
        <x:v>2023Q4</x:v>
      </x:c>
      <x:c r="B597" s="2" t="str">
        <x:v>Real Estate</x:v>
      </x:c>
      <x:c r="C597" s="2" t="str">
        <x:v>房地产</x:v>
      </x:c>
      <x:c r="D597" s="16" t="n">
        <x:v>2.74</x:v>
      </x:c>
      <x:c r="E597" s="17" t="str">
        <x:v>曲线近似值</x:v>
      </x:c>
      <x:c r="F597" s="18" t="n">
        <x:v>0.0115</x:v>
      </x:c>
      <x:c r="G597" s="18" t="n">
        <x:v>1671.116</x:v>
      </x:c>
      <x:c r="H597" s="18" t="n">
        <x:v>1557.367</x:v>
      </x:c>
      <x:c r="I597" s="2" t="str">
        <x:v>历史图表；最终状态未核验</x:v>
      </x:c>
    </x:row>
    <x:row r="598" ht="24" customHeight="1">
      <x:c r="A598" s="2" t="str">
        <x:v>2023Q4</x:v>
      </x:c>
      <x:c r="B598" s="2" t="str">
        <x:v>Utilities</x:v>
      </x:c>
      <x:c r="C598" s="2" t="str">
        <x:v>公用事业</x:v>
      </x:c>
      <x:c r="D598" s="16" t="n">
        <x:v>4.169</x:v>
      </x:c>
      <x:c r="E598" s="17" t="str">
        <x:v>曲线近似值</x:v>
      </x:c>
      <x:c r="F598" s="18" t="n">
        <x:v>0.036</x:v>
      </x:c>
      <x:c r="G598" s="18" t="n">
        <x:v>1671.116</x:v>
      </x:c>
      <x:c r="H598" s="18" t="n">
        <x:v>1894.411</x:v>
      </x:c>
      <x:c r="I598" s="2" t="str">
        <x:v>历史图表；最终状态未核验</x:v>
      </x:c>
    </x:row>
    <x:row r="599" ht="24" customHeight="1">
      <x:c r="A599" s="2" t="str">
        <x:v>2024Q1</x:v>
      </x:c>
      <x:c r="B599" s="2" t="str">
        <x:v>Communication Services</x:v>
      </x:c>
      <x:c r="C599" s="2" t="str">
        <x:v>通信服务</x:v>
      </x:c>
      <x:c r="D599" s="16" t="n">
        <x:v>3.634</x:v>
      </x:c>
      <x:c r="E599" s="17" t="str">
        <x:v>曲线近似值</x:v>
      </x:c>
      <x:c r="F599" s="18" t="n">
        <x:v>0.0862</x:v>
      </x:c>
      <x:c r="G599" s="18" t="n">
        <x:v>723.129</x:v>
      </x:c>
      <x:c r="H599" s="18" t="n">
        <x:v>615.155</x:v>
      </x:c>
      <x:c r="I599" s="2" t="str">
        <x:v>历史图表；最终状态未核验</x:v>
      </x:c>
    </x:row>
    <x:row r="600" ht="24" customHeight="1">
      <x:c r="A600" s="2" t="str">
        <x:v>2024Q1</x:v>
      </x:c>
      <x:c r="B600" s="2" t="str">
        <x:v>Consumer Discretionary</x:v>
      </x:c>
      <x:c r="C600" s="2" t="str">
        <x:v>可选消费</x:v>
      </x:c>
      <x:c r="D600" s="16" t="n">
        <x:v>12.065</x:v>
      </x:c>
      <x:c r="E600" s="17" t="str">
        <x:v>曲线近似值</x:v>
      </x:c>
      <x:c r="F600" s="18" t="n">
        <x:v>0.2154</x:v>
      </x:c>
      <x:c r="G600" s="18" t="n">
        <x:v>723.129</x:v>
      </x:c>
      <x:c r="H600" s="18" t="n">
        <x:v>916.494</x:v>
      </x:c>
      <x:c r="I600" s="2" t="str">
        <x:v>历史图表；最终状态未核验</x:v>
      </x:c>
    </x:row>
    <x:row r="601" ht="24" customHeight="1">
      <x:c r="A601" s="2" t="str">
        <x:v>2024Q1</x:v>
      </x:c>
      <x:c r="B601" s="2" t="str">
        <x:v>Consumer Staples</x:v>
      </x:c>
      <x:c r="C601" s="2" t="str">
        <x:v>必需消费</x:v>
      </x:c>
      <x:c r="D601" s="16" t="n">
        <x:v>9.521</x:v>
      </x:c>
      <x:c r="E601" s="17" t="str">
        <x:v>曲线近似值</x:v>
      </x:c>
      <x:c r="F601" s="18" t="n">
        <x:v>0.0504</x:v>
      </x:c>
      <x:c r="G601" s="18" t="n">
        <x:v>723.129</x:v>
      </x:c>
      <x:c r="H601" s="18" t="n">
        <x:v>1137.755</x:v>
      </x:c>
      <x:c r="I601" s="2" t="str">
        <x:v>历史图表；最终状态未核验</x:v>
      </x:c>
    </x:row>
    <x:row r="602" ht="24" customHeight="1">
      <x:c r="A602" s="2" t="str">
        <x:v>2024Q1</x:v>
      </x:c>
      <x:c r="B602" s="2" t="str">
        <x:v>Energy</x:v>
      </x:c>
      <x:c r="C602" s="2" t="str">
        <x:v>能源</x:v>
      </x:c>
      <x:c r="D602" s="16" t="n">
        <x:v>12.365</x:v>
      </x:c>
      <x:c r="E602" s="17" t="str">
        <x:v>曲线近似值</x:v>
      </x:c>
      <x:c r="F602" s="18" t="n">
        <x:v>0.2158</x:v>
      </x:c>
      <x:c r="G602" s="18" t="n">
        <x:v>723.129</x:v>
      </x:c>
      <x:c r="H602" s="18" t="n">
        <x:v>1525.082</x:v>
      </x:c>
      <x:c r="I602" s="2" t="str">
        <x:v>历史图表；最终状态未核验</x:v>
      </x:c>
    </x:row>
    <x:row r="603" ht="24" customHeight="1">
      <x:c r="A603" s="2" t="str">
        <x:v>2024Q1</x:v>
      </x:c>
      <x:c r="B603" s="2" t="str">
        <x:v>Financials</x:v>
      </x:c>
      <x:c r="C603" s="2" t="str">
        <x:v>金融</x:v>
      </x:c>
      <x:c r="D603" s="16" t="n">
        <x:v>11.288</x:v>
      </x:c>
      <x:c r="E603" s="17" t="str">
        <x:v>曲线近似值</x:v>
      </x:c>
      <x:c r="F603" s="18" t="n">
        <x:v>0.1007</x:v>
      </x:c>
      <x:c r="G603" s="18" t="n">
        <x:v>723.129</x:v>
      </x:c>
      <x:c r="H603" s="18" t="n">
        <x:v>1830.568</x:v>
      </x:c>
      <x:c r="I603" s="2" t="str">
        <x:v>历史图表；最终状态未核验</x:v>
      </x:c>
    </x:row>
    <x:row r="604" ht="24" customHeight="1">
      <x:c r="A604" s="2" t="str">
        <x:v>2024Q1</x:v>
      </x:c>
      <x:c r="B604" s="2" t="str">
        <x:v>Health Care</x:v>
      </x:c>
      <x:c r="C604" s="2" t="str">
        <x:v>医疗保健</x:v>
      </x:c>
      <x:c r="D604" s="16" t="n">
        <x:v>16.103</x:v>
      </x:c>
      <x:c r="E604" s="17" t="str">
        <x:v>曲线近似值</x:v>
      </x:c>
      <x:c r="F604" s="18" t="n">
        <x:v>0.173</x:v>
      </x:c>
      <x:c r="G604" s="18" t="n">
        <x:v>1683.129</x:v>
      </x:c>
      <x:c r="H604" s="18" t="n">
        <x:v>242.646</x:v>
      </x:c>
      <x:c r="I604" s="2" t="str">
        <x:v>历史图表；最终状态未核验</x:v>
      </x:c>
    </x:row>
    <x:row r="605" ht="24" customHeight="1">
      <x:c r="A605" s="2" t="str">
        <x:v>2024Q1</x:v>
      </x:c>
      <x:c r="B605" s="2" t="str">
        <x:v>Industrials</x:v>
      </x:c>
      <x:c r="C605" s="2" t="str">
        <x:v>工业</x:v>
      </x:c>
      <x:c r="D605" s="16" t="n">
        <x:v>9.557</x:v>
      </x:c>
      <x:c r="E605" s="17" t="str">
        <x:v>曲线近似值</x:v>
      </x:c>
      <x:c r="F605" s="18" t="n">
        <x:v>0.1149</x:v>
      </x:c>
      <x:c r="G605" s="18" t="n">
        <x:v>1683.129</x:v>
      </x:c>
      <x:c r="H605" s="18" t="n">
        <x:v>533.148</x:v>
      </x:c>
      <x:c r="I605" s="2" t="str">
        <x:v>历史图表；最终状态未核验</x:v>
      </x:c>
    </x:row>
    <x:row r="606" ht="24" customHeight="1">
      <x:c r="A606" s="2" t="str">
        <x:v>2024Q1</x:v>
      </x:c>
      <x:c r="B606" s="2" t="str">
        <x:v>Information Technology</x:v>
      </x:c>
      <x:c r="C606" s="2" t="str">
        <x:v>信息技术</x:v>
      </x:c>
      <x:c r="D606" s="16" t="n">
        <x:v>30.424</x:v>
      </x:c>
      <x:c r="E606" s="17" t="str">
        <x:v>曲线近似值</x:v>
      </x:c>
      <x:c r="F606" s="18" t="n">
        <x:v>0.5027</x:v>
      </x:c>
      <x:c r="G606" s="18" t="n">
        <x:v>1683.129</x:v>
      </x:c>
      <x:c r="H606" s="18" t="n">
        <x:v>907.456</x:v>
      </x:c>
      <x:c r="I606" s="2" t="str">
        <x:v>历史图表；最终状态未核验</x:v>
      </x:c>
    </x:row>
    <x:row r="607" ht="24" customHeight="1">
      <x:c r="A607" s="2" t="str">
        <x:v>2024Q1</x:v>
      </x:c>
      <x:c r="B607" s="2" t="str">
        <x:v>Materials</x:v>
      </x:c>
      <x:c r="C607" s="2" t="str">
        <x:v>材料</x:v>
      </x:c>
      <x:c r="D607" s="16" t="n">
        <x:v>5.74</x:v>
      </x:c>
      <x:c r="E607" s="17" t="str">
        <x:v>曲线近似值</x:v>
      </x:c>
      <x:c r="F607" s="18" t="n">
        <x:v>0.0719</x:v>
      </x:c>
      <x:c r="G607" s="18" t="n">
        <x:v>1683.129</x:v>
      </x:c>
      <x:c r="H607" s="18" t="n">
        <x:v>1253.02</x:v>
      </x:c>
      <x:c r="I607" s="2" t="str">
        <x:v>历史图表；最终状态未核验</x:v>
      </x:c>
    </x:row>
    <x:row r="608" ht="24" customHeight="1">
      <x:c r="A608" s="2" t="str">
        <x:v>2024Q1</x:v>
      </x:c>
      <x:c r="B608" s="2" t="str">
        <x:v>Real Estate</x:v>
      </x:c>
      <x:c r="C608" s="2" t="str">
        <x:v>房地产</x:v>
      </x:c>
      <x:c r="D608" s="16" t="n">
        <x:v>3.002</x:v>
      </x:c>
      <x:c r="E608" s="17" t="str">
        <x:v>曲线近似值</x:v>
      </x:c>
      <x:c r="F608" s="18" t="n">
        <x:v>0.0115</x:v>
      </x:c>
      <x:c r="G608" s="18" t="n">
        <x:v>1683.129</x:v>
      </x:c>
      <x:c r="H608" s="18" t="n">
        <x:v>1511.914</x:v>
      </x:c>
      <x:c r="I608" s="2" t="str">
        <x:v>历史图表；最终状态未核验</x:v>
      </x:c>
    </x:row>
    <x:row r="609" ht="24" customHeight="1">
      <x:c r="A609" s="2" t="str">
        <x:v>2024Q1</x:v>
      </x:c>
      <x:c r="B609" s="2" t="str">
        <x:v>Utilities</x:v>
      </x:c>
      <x:c r="C609" s="2" t="str">
        <x:v>公用事业</x:v>
      </x:c>
      <x:c r="D609" s="16" t="n">
        <x:v>5.489</x:v>
      </x:c>
      <x:c r="E609" s="17" t="str">
        <x:v>曲线近似值</x:v>
      </x:c>
      <x:c r="F609" s="18" t="n">
        <x:v>0.036</x:v>
      </x:c>
      <x:c r="G609" s="18" t="n">
        <x:v>1683.129</x:v>
      </x:c>
      <x:c r="H609" s="18" t="n">
        <x:v>1821.021</x:v>
      </x:c>
      <x:c r="I609" s="2" t="str">
        <x:v>历史图表；最终状态未核验</x:v>
      </x:c>
    </x:row>
    <x:row r="610" ht="24" customHeight="1">
      <x:c r="A610" s="2" t="str">
        <x:v>2024Q2</x:v>
      </x:c>
      <x:c r="B610" s="2" t="str">
        <x:v>Communication Services</x:v>
      </x:c>
      <x:c r="C610" s="2" t="str">
        <x:v>通信服务</x:v>
      </x:c>
      <x:c r="D610" s="16" t="n">
        <x:v>3.201</x:v>
      </x:c>
      <x:c r="E610" s="17" t="str">
        <x:v>曲线近似值</x:v>
      </x:c>
      <x:c r="F610" s="18" t="n">
        <x:v>0.0862</x:v>
      </x:c>
      <x:c r="G610" s="18" t="n">
        <x:v>735.069</x:v>
      </x:c>
      <x:c r="H610" s="18" t="n">
        <x:v>625.209</x:v>
      </x:c>
      <x:c r="I610" s="2" t="str">
        <x:v>历史图表；最终状态未核验</x:v>
      </x:c>
    </x:row>
    <x:row r="611" ht="24" customHeight="1">
      <x:c r="A611" s="2" t="str">
        <x:v>2024Q2</x:v>
      </x:c>
      <x:c r="B611" s="2" t="str">
        <x:v>Consumer Discretionary</x:v>
      </x:c>
      <x:c r="C611" s="2" t="str">
        <x:v>可选消费</x:v>
      </x:c>
      <x:c r="D611" s="16" t="n">
        <x:v>15.101</x:v>
      </x:c>
      <x:c r="E611" s="17" t="str">
        <x:v>曲线近似值</x:v>
      </x:c>
      <x:c r="F611" s="18" t="n">
        <x:v>0.2154</x:v>
      </x:c>
      <x:c r="G611" s="18" t="n">
        <x:v>735.069</x:v>
      </x:c>
      <x:c r="H611" s="18" t="n">
        <x:v>888.311</x:v>
      </x:c>
      <x:c r="I611" s="2" t="str">
        <x:v>历史图表；最终状态未核验</x:v>
      </x:c>
    </x:row>
    <x:row r="612" ht="24" customHeight="1">
      <x:c r="A612" s="2" t="str">
        <x:v>2024Q2</x:v>
      </x:c>
      <x:c r="B612" s="2" t="str">
        <x:v>Consumer Staples</x:v>
      </x:c>
      <x:c r="C612" s="2" t="str">
        <x:v>必需消费</x:v>
      </x:c>
      <x:c r="D612" s="16" t="n">
        <x:v>9.817</x:v>
      </x:c>
      <x:c r="E612" s="17" t="str">
        <x:v>曲线近似值</x:v>
      </x:c>
      <x:c r="F612" s="18" t="n">
        <x:v>0.0504</x:v>
      </x:c>
      <x:c r="G612" s="18" t="n">
        <x:v>735.069</x:v>
      </x:c>
      <x:c r="H612" s="18" t="n">
        <x:v>1125.998</x:v>
      </x:c>
      <x:c r="I612" s="2" t="str">
        <x:v>历史图表；最终状态未核验</x:v>
      </x:c>
    </x:row>
    <x:row r="613" ht="24" customHeight="1">
      <x:c r="A613" s="2" t="str">
        <x:v>2024Q2</x:v>
      </x:c>
      <x:c r="B613" s="2" t="str">
        <x:v>Energy</x:v>
      </x:c>
      <x:c r="C613" s="2" t="str">
        <x:v>能源</x:v>
      </x:c>
      <x:c r="D613" s="16" t="n">
        <x:v>12.389</x:v>
      </x:c>
      <x:c r="E613" s="17" t="str">
        <x:v>曲线近似值</x:v>
      </x:c>
      <x:c r="F613" s="18" t="n">
        <x:v>0.2158</x:v>
      </x:c>
      <x:c r="G613" s="18" t="n">
        <x:v>735.069</x:v>
      </x:c>
      <x:c r="H613" s="18" t="n">
        <x:v>1524.861</x:v>
      </x:c>
      <x:c r="I613" s="2" t="str">
        <x:v>历史图表；最终状态未核验</x:v>
      </x:c>
    </x:row>
    <x:row r="614" ht="24" customHeight="1">
      <x:c r="A614" s="2" t="str">
        <x:v>2024Q2</x:v>
      </x:c>
      <x:c r="B614" s="2" t="str">
        <x:v>Financials</x:v>
      </x:c>
      <x:c r="C614" s="2" t="str">
        <x:v>金融</x:v>
      </x:c>
      <x:c r="D614" s="16" t="n">
        <x:v>11.684</x:v>
      </x:c>
      <x:c r="E614" s="17" t="str">
        <x:v>曲线近似值</x:v>
      </x:c>
      <x:c r="F614" s="18" t="n">
        <x:v>0.1007</x:v>
      </x:c>
      <x:c r="G614" s="18" t="n">
        <x:v>735.069</x:v>
      </x:c>
      <x:c r="H614" s="18" t="n">
        <x:v>1822.701</x:v>
      </x:c>
      <x:c r="I614" s="2" t="str">
        <x:v>历史图表；最终状态未核验</x:v>
      </x:c>
    </x:row>
    <x:row r="615" ht="24" customHeight="1">
      <x:c r="A615" s="2" t="str">
        <x:v>2024Q2</x:v>
      </x:c>
      <x:c r="B615" s="2" t="str">
        <x:v>Health Care</x:v>
      </x:c>
      <x:c r="C615" s="2" t="str">
        <x:v>医疗保健</x:v>
      </x:c>
      <x:c r="D615" s="16" t="n">
        <x:v>21.07</x:v>
      </x:c>
      <x:c r="E615" s="17" t="str">
        <x:v>曲线近似值</x:v>
      </x:c>
      <x:c r="F615" s="18" t="n">
        <x:v>0.173</x:v>
      </x:c>
      <x:c r="G615" s="18" t="n">
        <x:v>1695.069</x:v>
      </x:c>
      <x:c r="H615" s="18" t="n">
        <x:v>185.236</x:v>
      </x:c>
      <x:c r="I615" s="2" t="str">
        <x:v>历史图表；最终状态未核验</x:v>
      </x:c>
    </x:row>
    <x:row r="616" ht="24" customHeight="1">
      <x:c r="A616" s="2" t="str">
        <x:v>2024Q2</x:v>
      </x:c>
      <x:c r="B616" s="2" t="str">
        <x:v>Industrials</x:v>
      </x:c>
      <x:c r="C616" s="2" t="str">
        <x:v>工业</x:v>
      </x:c>
      <x:c r="D616" s="16" t="n">
        <x:v>11.943</x:v>
      </x:c>
      <x:c r="E616" s="17" t="str">
        <x:v>曲线近似值</x:v>
      </x:c>
      <x:c r="F616" s="18" t="n">
        <x:v>0.1149</x:v>
      </x:c>
      <x:c r="G616" s="18" t="n">
        <x:v>1695.069</x:v>
      </x:c>
      <x:c r="H616" s="18" t="n">
        <x:v>491.614</x:v>
      </x:c>
      <x:c r="I616" s="2" t="str">
        <x:v>历史图表；最终状态未核验</x:v>
      </x:c>
    </x:row>
    <x:row r="617" ht="24" customHeight="1">
      <x:c r="A617" s="2" t="str">
        <x:v>2024Q2</x:v>
      </x:c>
      <x:c r="B617" s="2" t="str">
        <x:v>Information Technology</x:v>
      </x:c>
      <x:c r="C617" s="2" t="str">
        <x:v>信息技术</x:v>
      </x:c>
      <x:c r="D617" s="16" t="n">
        <x:v>31.04</x:v>
      </x:c>
      <x:c r="E617" s="17" t="str">
        <x:v>曲线近似值</x:v>
      </x:c>
      <x:c r="F617" s="18" t="n">
        <x:v>0.5027</x:v>
      </x:c>
      <x:c r="G617" s="18" t="n">
        <x:v>1695.069</x:v>
      </x:c>
      <x:c r="H617" s="18" t="n">
        <x:v>905.004</x:v>
      </x:c>
      <x:c r="I617" s="2" t="str">
        <x:v>历史图表；最终状态未核验</x:v>
      </x:c>
    </x:row>
    <x:row r="618" ht="24" customHeight="1">
      <x:c r="A618" s="2" t="str">
        <x:v>2024Q2</x:v>
      </x:c>
      <x:c r="B618" s="2" t="str">
        <x:v>Materials</x:v>
      </x:c>
      <x:c r="C618" s="2" t="str">
        <x:v>材料</x:v>
      </x:c>
      <x:c r="D618" s="16" t="n">
        <x:v>7.219</x:v>
      </x:c>
      <x:c r="E618" s="17" t="str">
        <x:v>曲线近似值</x:v>
      </x:c>
      <x:c r="F618" s="18" t="n">
        <x:v>0.0719</x:v>
      </x:c>
      <x:c r="G618" s="18" t="n">
        <x:v>1695.069</x:v>
      </x:c>
      <x:c r="H618" s="18" t="n">
        <x:v>1211.913</x:v>
      </x:c>
      <x:c r="I618" s="2" t="str">
        <x:v>历史图表；最终状态未核验</x:v>
      </x:c>
    </x:row>
    <x:row r="619" ht="24" customHeight="1">
      <x:c r="A619" s="2" t="str">
        <x:v>2024Q2</x:v>
      </x:c>
      <x:c r="B619" s="2" t="str">
        <x:v>Real Estate</x:v>
      </x:c>
      <x:c r="C619" s="2" t="str">
        <x:v>房地产</x:v>
      </x:c>
      <x:c r="D619" s="16" t="n">
        <x:v>2.977</x:v>
      </x:c>
      <x:c r="E619" s="17" t="str">
        <x:v>曲线近似值</x:v>
      </x:c>
      <x:c r="F619" s="18" t="n">
        <x:v>0.0115</x:v>
      </x:c>
      <x:c r="G619" s="18" t="n">
        <x:v>1695.069</x:v>
      </x:c>
      <x:c r="H619" s="18" t="n">
        <x:v>1516.328</x:v>
      </x:c>
      <x:c r="I619" s="2" t="str">
        <x:v>历史图表；最终状态未核验</x:v>
      </x:c>
    </x:row>
    <x:row r="620" ht="24" customHeight="1">
      <x:c r="A620" s="2" t="str">
        <x:v>2024Q2</x:v>
      </x:c>
      <x:c r="B620" s="2" t="str">
        <x:v>Utilities</x:v>
      </x:c>
      <x:c r="C620" s="2" t="str">
        <x:v>公用事业</x:v>
      </x:c>
      <x:c r="D620" s="16" t="n">
        <x:v>4.653</x:v>
      </x:c>
      <x:c r="E620" s="17" t="str">
        <x:v>曲线近似值</x:v>
      </x:c>
      <x:c r="F620" s="18" t="n">
        <x:v>0.036</x:v>
      </x:c>
      <x:c r="G620" s="18" t="n">
        <x:v>1695.069</x:v>
      </x:c>
      <x:c r="H620" s="18" t="n">
        <x:v>1867.496</x:v>
      </x:c>
      <x:c r="I620" s="2" t="str">
        <x:v>历史图表；最终状态未核验</x:v>
      </x:c>
    </x:row>
    <x:row r="621" ht="24" customHeight="1">
      <x:c r="A621" s="2" t="str">
        <x:v>2024Q3</x:v>
      </x:c>
      <x:c r="B621" s="2" t="str">
        <x:v>Communication Services</x:v>
      </x:c>
      <x:c r="C621" s="2" t="str">
        <x:v>通信服务</x:v>
      </x:c>
      <x:c r="D621" s="16" t="n">
        <x:v>4.253</x:v>
      </x:c>
      <x:c r="E621" s="17" t="str">
        <x:v>曲线近似值</x:v>
      </x:c>
      <x:c r="F621" s="18" t="n">
        <x:v>0.0862</x:v>
      </x:c>
      <x:c r="G621" s="18" t="n">
        <x:v>747.052</x:v>
      </x:c>
      <x:c r="H621" s="18" t="n">
        <x:v>600.796</x:v>
      </x:c>
      <x:c r="I621" s="2" t="str">
        <x:v>历史图表；最终状态未核验</x:v>
      </x:c>
    </x:row>
    <x:row r="622" ht="24" customHeight="1">
      <x:c r="A622" s="2" t="str">
        <x:v>2024Q3</x:v>
      </x:c>
      <x:c r="B622" s="2" t="str">
        <x:v>Consumer Discretionary</x:v>
      </x:c>
      <x:c r="C622" s="2" t="str">
        <x:v>可选消费</x:v>
      </x:c>
      <x:c r="D622" s="16" t="n">
        <x:v>16.536</x:v>
      </x:c>
      <x:c r="E622" s="17" t="str">
        <x:v>曲线近似值</x:v>
      </x:c>
      <x:c r="F622" s="18" t="n">
        <x:v>0.2154</x:v>
      </x:c>
      <x:c r="G622" s="18" t="n">
        <x:v>747.052</x:v>
      </x:c>
      <x:c r="H622" s="18" t="n">
        <x:v>874.987</x:v>
      </x:c>
      <x:c r="I622" s="2" t="str">
        <x:v>历史图表；最终状态未核验</x:v>
      </x:c>
    </x:row>
    <x:row r="623" ht="24" customHeight="1">
      <x:c r="A623" s="2" t="str">
        <x:v>2024Q3</x:v>
      </x:c>
      <x:c r="B623" s="2" t="str">
        <x:v>Consumer Staples</x:v>
      </x:c>
      <x:c r="C623" s="2" t="str">
        <x:v>必需消费</x:v>
      </x:c>
      <x:c r="D623" s="16" t="n">
        <x:v>10.309</x:v>
      </x:c>
      <x:c r="E623" s="17" t="str">
        <x:v>曲线近似值</x:v>
      </x:c>
      <x:c r="F623" s="18" t="n">
        <x:v>0.0504</x:v>
      </x:c>
      <x:c r="G623" s="18" t="n">
        <x:v>747.052</x:v>
      </x:c>
      <x:c r="H623" s="18" t="n">
        <x:v>1106.457</x:v>
      </x:c>
      <x:c r="I623" s="2" t="str">
        <x:v>历史图表；最终状态未核验</x:v>
      </x:c>
    </x:row>
    <x:row r="624" ht="24" customHeight="1">
      <x:c r="A624" s="2" t="str">
        <x:v>2024Q3</x:v>
      </x:c>
      <x:c r="B624" s="2" t="str">
        <x:v>Energy</x:v>
      </x:c>
      <x:c r="C624" s="2" t="str">
        <x:v>能源</x:v>
      </x:c>
      <x:c r="D624" s="16" t="n">
        <x:v>10.956</x:v>
      </x:c>
      <x:c r="E624" s="17" t="str">
        <x:v>曲线近似值</x:v>
      </x:c>
      <x:c r="F624" s="18" t="n">
        <x:v>0.2158</x:v>
      </x:c>
      <x:c r="G624" s="18" t="n">
        <x:v>747.052</x:v>
      </x:c>
      <x:c r="H624" s="18" t="n">
        <x:v>1538.145</x:v>
      </x:c>
      <x:c r="I624" s="2" t="str">
        <x:v>历史图表；最终状态未核验</x:v>
      </x:c>
    </x:row>
    <x:row r="625" ht="24" customHeight="1">
      <x:c r="A625" s="2" t="str">
        <x:v>2024Q3</x:v>
      </x:c>
      <x:c r="B625" s="2" t="str">
        <x:v>Financials</x:v>
      </x:c>
      <x:c r="C625" s="2" t="str">
        <x:v>金融</x:v>
      </x:c>
      <x:c r="D625" s="16" t="n">
        <x:v>11.222</x:v>
      </x:c>
      <x:c r="E625" s="17" t="str">
        <x:v>曲线近似值</x:v>
      </x:c>
      <x:c r="F625" s="18" t="n">
        <x:v>0.1007</x:v>
      </x:c>
      <x:c r="G625" s="18" t="n">
        <x:v>747.052</x:v>
      </x:c>
      <x:c r="H625" s="18" t="n">
        <x:v>1831.885</x:v>
      </x:c>
      <x:c r="I625" s="2" t="str">
        <x:v>历史图表；最终状态未核验</x:v>
      </x:c>
    </x:row>
    <x:row r="626" ht="24" customHeight="1">
      <x:c r="A626" s="2" t="str">
        <x:v>2024Q3</x:v>
      </x:c>
      <x:c r="B626" s="2" t="str">
        <x:v>Health Care</x:v>
      </x:c>
      <x:c r="C626" s="2" t="str">
        <x:v>医疗保健</x:v>
      </x:c>
      <x:c r="D626" s="16" t="n">
        <x:v>22.012</x:v>
      </x:c>
      <x:c r="E626" s="17" t="str">
        <x:v>曲线近似值</x:v>
      </x:c>
      <x:c r="F626" s="18" t="n">
        <x:v>0.173</x:v>
      </x:c>
      <x:c r="G626" s="18" t="n">
        <x:v>1707.052</x:v>
      </x:c>
      <x:c r="H626" s="18" t="n">
        <x:v>174.338</x:v>
      </x:c>
      <x:c r="I626" s="2" t="str">
        <x:v>历史图表；最终状态未核验</x:v>
      </x:c>
    </x:row>
    <x:row r="627" ht="24" customHeight="1">
      <x:c r="A627" s="2" t="str">
        <x:v>2024Q3</x:v>
      </x:c>
      <x:c r="B627" s="2" t="str">
        <x:v>Industrials</x:v>
      </x:c>
      <x:c r="C627" s="2" t="str">
        <x:v>工业</x:v>
      </x:c>
      <x:c r="D627" s="16" t="n">
        <x:v>10.313</x:v>
      </x:c>
      <x:c r="E627" s="17" t="str">
        <x:v>曲线近似值</x:v>
      </x:c>
      <x:c r="F627" s="18" t="n">
        <x:v>0.1149</x:v>
      </x:c>
      <x:c r="G627" s="18" t="n">
        <x:v>1707.052</x:v>
      </x:c>
      <x:c r="H627" s="18" t="n">
        <x:v>519.992</x:v>
      </x:c>
      <x:c r="I627" s="2" t="str">
        <x:v>历史图表；最终状态未核验</x:v>
      </x:c>
    </x:row>
    <x:row r="628" ht="24" customHeight="1">
      <x:c r="A628" s="2" t="str">
        <x:v>2024Q3</x:v>
      </x:c>
      <x:c r="B628" s="2" t="str">
        <x:v>Information Technology</x:v>
      </x:c>
      <x:c r="C628" s="2" t="str">
        <x:v>信息技术</x:v>
      </x:c>
      <x:c r="D628" s="16" t="n">
        <x:v>33.655</x:v>
      </x:c>
      <x:c r="E628" s="17" t="str">
        <x:v>曲线近似值</x:v>
      </x:c>
      <x:c r="F628" s="18" t="n">
        <x:v>0.5027</x:v>
      </x:c>
      <x:c r="G628" s="18" t="n">
        <x:v>1707.052</x:v>
      </x:c>
      <x:c r="H628" s="18" t="n">
        <x:v>894.601</x:v>
      </x:c>
      <x:c r="I628" s="2" t="str">
        <x:v>历史图表；最终状态未核验</x:v>
      </x:c>
    </x:row>
    <x:row r="629" ht="24" customHeight="1">
      <x:c r="A629" s="2" t="str">
        <x:v>2024Q3</x:v>
      </x:c>
      <x:c r="B629" s="2" t="str">
        <x:v>Materials</x:v>
      </x:c>
      <x:c r="C629" s="2" t="str">
        <x:v>材料</x:v>
      </x:c>
      <x:c r="D629" s="16" t="n">
        <x:v>5.737</x:v>
      </x:c>
      <x:c r="E629" s="17" t="str">
        <x:v>曲线近似值</x:v>
      </x:c>
      <x:c r="F629" s="18" t="n">
        <x:v>0.0719</x:v>
      </x:c>
      <x:c r="G629" s="18" t="n">
        <x:v>1707.052</x:v>
      </x:c>
      <x:c r="H629" s="18" t="n">
        <x:v>1253.107</x:v>
      </x:c>
      <x:c r="I629" s="2" t="str">
        <x:v>历史图表；最终状态未核验</x:v>
      </x:c>
    </x:row>
    <x:row r="630" ht="24" customHeight="1">
      <x:c r="A630" s="2" t="str">
        <x:v>2024Q3</x:v>
      </x:c>
      <x:c r="B630" s="2" t="str">
        <x:v>Real Estate</x:v>
      </x:c>
      <x:c r="C630" s="2" t="str">
        <x:v>房地产</x:v>
      </x:c>
      <x:c r="D630" s="16" t="n">
        <x:v>2.603</x:v>
      </x:c>
      <x:c r="E630" s="17" t="str">
        <x:v>曲线近似值</x:v>
      </x:c>
      <x:c r="F630" s="18" t="n">
        <x:v>0.0115</x:v>
      </x:c>
      <x:c r="G630" s="18" t="n">
        <x:v>1707.052</x:v>
      </x:c>
      <x:c r="H630" s="18" t="n">
        <x:v>1581.183</x:v>
      </x:c>
      <x:c r="I630" s="2" t="str">
        <x:v>历史图表；最终状态未核验</x:v>
      </x:c>
    </x:row>
    <x:row r="631" ht="24" customHeight="1">
      <x:c r="A631" s="2" t="str">
        <x:v>2024Q3</x:v>
      </x:c>
      <x:c r="B631" s="2" t="str">
        <x:v>Utilities</x:v>
      </x:c>
      <x:c r="C631" s="2" t="str">
        <x:v>公用事业</x:v>
      </x:c>
      <x:c r="D631" s="16" t="n">
        <x:v>6.602</x:v>
      </x:c>
      <x:c r="E631" s="17" t="str">
        <x:v>曲线近似值</x:v>
      </x:c>
      <x:c r="F631" s="18" t="n">
        <x:v>0.036</x:v>
      </x:c>
      <x:c r="G631" s="18" t="n">
        <x:v>1707.052</x:v>
      </x:c>
      <x:c r="H631" s="18" t="n">
        <x:v>1759.112</x:v>
      </x:c>
      <x:c r="I631" s="2" t="str">
        <x:v>历史图表；最终状态未核验</x:v>
      </x:c>
    </x:row>
    <x:row r="632" ht="24" customHeight="1">
      <x:c r="A632" s="2" t="str">
        <x:v>2024Q4</x:v>
      </x:c>
      <x:c r="B632" s="2" t="str">
        <x:v>Communication Services</x:v>
      </x:c>
      <x:c r="C632" s="2" t="str">
        <x:v>通信服务</x:v>
      </x:c>
      <x:c r="D632" s="16" t="n">
        <x:v>4.485</x:v>
      </x:c>
      <x:c r="E632" s="17" t="str">
        <x:v>曲线近似值</x:v>
      </x:c>
      <x:c r="F632" s="18" t="n">
        <x:v>0.0862</x:v>
      </x:c>
      <x:c r="G632" s="18" t="n">
        <x:v>759.108</x:v>
      </x:c>
      <x:c r="H632" s="18" t="n">
        <x:v>595.419</x:v>
      </x:c>
      <x:c r="I632" s="2" t="str">
        <x:v>历史图表；最终状态未核验</x:v>
      </x:c>
    </x:row>
    <x:row r="633" ht="24" customHeight="1">
      <x:c r="A633" s="2" t="str">
        <x:v>2024Q4</x:v>
      </x:c>
      <x:c r="B633" s="2" t="str">
        <x:v>Consumer Discretionary</x:v>
      </x:c>
      <x:c r="C633" s="2" t="str">
        <x:v>可选消费</x:v>
      </x:c>
      <x:c r="D633" s="16" t="n">
        <x:v>15.544</x:v>
      </x:c>
      <x:c r="E633" s="17" t="str">
        <x:v>曲线近似值</x:v>
      </x:c>
      <x:c r="F633" s="18" t="n">
        <x:v>0.2154</x:v>
      </x:c>
      <x:c r="G633" s="18" t="n">
        <x:v>759.108</x:v>
      </x:c>
      <x:c r="H633" s="18" t="n">
        <x:v>884.204</x:v>
      </x:c>
      <x:c r="I633" s="2" t="str">
        <x:v>历史图表；最终状态未核验</x:v>
      </x:c>
    </x:row>
    <x:row r="634" ht="24" customHeight="1">
      <x:c r="A634" s="2" t="str">
        <x:v>2024Q4</x:v>
      </x:c>
      <x:c r="B634" s="2" t="str">
        <x:v>Consumer Staples</x:v>
      </x:c>
      <x:c r="C634" s="2" t="str">
        <x:v>必需消费</x:v>
      </x:c>
      <x:c r="D634" s="16" t="n">
        <x:v>9.681</x:v>
      </x:c>
      <x:c r="E634" s="17" t="str">
        <x:v>曲线近似值</x:v>
      </x:c>
      <x:c r="F634" s="18" t="n">
        <x:v>0.0504</x:v>
      </x:c>
      <x:c r="G634" s="18" t="n">
        <x:v>759.108</x:v>
      </x:c>
      <x:c r="H634" s="18" t="n">
        <x:v>1131.384</x:v>
      </x:c>
      <x:c r="I634" s="2" t="str">
        <x:v>历史图表；最终状态未核验</x:v>
      </x:c>
    </x:row>
    <x:row r="635" ht="24" customHeight="1">
      <x:c r="A635" s="2" t="str">
        <x:v>2024Q4</x:v>
      </x:c>
      <x:c r="B635" s="2" t="str">
        <x:v>Energy</x:v>
      </x:c>
      <x:c r="C635" s="2" t="str">
        <x:v>能源</x:v>
      </x:c>
      <x:c r="D635" s="16" t="n">
        <x:v>9.845</x:v>
      </x:c>
      <x:c r="E635" s="17" t="str">
        <x:v>曲线近似值</x:v>
      </x:c>
      <x:c r="F635" s="18" t="n">
        <x:v>0.2158</x:v>
      </x:c>
      <x:c r="G635" s="18" t="n">
        <x:v>759.108</x:v>
      </x:c>
      <x:c r="H635" s="18" t="n">
        <x:v>1548.44</x:v>
      </x:c>
      <x:c r="I635" s="2" t="str">
        <x:v>历史图表；最终状态未核验</x:v>
      </x:c>
    </x:row>
    <x:row r="636" ht="24" customHeight="1">
      <x:c r="A636" s="2" t="str">
        <x:v>2024Q4</x:v>
      </x:c>
      <x:c r="B636" s="2" t="str">
        <x:v>Financials</x:v>
      </x:c>
      <x:c r="C636" s="2" t="str">
        <x:v>金融</x:v>
      </x:c>
      <x:c r="D636" s="16" t="n">
        <x:v>12.336</x:v>
      </x:c>
      <x:c r="E636" s="17" t="str">
        <x:v>曲线近似值</x:v>
      </x:c>
      <x:c r="F636" s="18" t="n">
        <x:v>0.1007</x:v>
      </x:c>
      <x:c r="G636" s="18" t="n">
        <x:v>759.108</x:v>
      </x:c>
      <x:c r="H636" s="18" t="n">
        <x:v>1809.748</x:v>
      </x:c>
      <x:c r="I636" s="2" t="str">
        <x:v>历史图表；最终状态未核验</x:v>
      </x:c>
    </x:row>
    <x:row r="637" ht="24" customHeight="1">
      <x:c r="A637" s="2" t="str">
        <x:v>2024Q4</x:v>
      </x:c>
      <x:c r="B637" s="2" t="str">
        <x:v>Health Care</x:v>
      </x:c>
      <x:c r="C637" s="2" t="str">
        <x:v>医疗保健</x:v>
      </x:c>
      <x:c r="D637" s="16" t="n">
        <x:v>20.781</x:v>
      </x:c>
      <x:c r="E637" s="17" t="str">
        <x:v>曲线近似值</x:v>
      </x:c>
      <x:c r="F637" s="18" t="n">
        <x:v>0.173</x:v>
      </x:c>
      <x:c r="G637" s="18" t="n">
        <x:v>1719.108</x:v>
      </x:c>
      <x:c r="H637" s="18" t="n">
        <x:v>188.575</x:v>
      </x:c>
      <x:c r="I637" s="2" t="str">
        <x:v>历史图表；最终状态未核验</x:v>
      </x:c>
    </x:row>
    <x:row r="638" ht="24" customHeight="1">
      <x:c r="A638" s="2" t="str">
        <x:v>2024Q4</x:v>
      </x:c>
      <x:c r="B638" s="2" t="str">
        <x:v>Industrials</x:v>
      </x:c>
      <x:c r="C638" s="2" t="str">
        <x:v>工业</x:v>
      </x:c>
      <x:c r="D638" s="16" t="n">
        <x:v>12.089</x:v>
      </x:c>
      <x:c r="E638" s="17" t="str">
        <x:v>曲线近似值</x:v>
      </x:c>
      <x:c r="F638" s="18" t="n">
        <x:v>0.1149</x:v>
      </x:c>
      <x:c r="G638" s="18" t="n">
        <x:v>1719.108</x:v>
      </x:c>
      <x:c r="H638" s="18" t="n">
        <x:v>489.078</x:v>
      </x:c>
      <x:c r="I638" s="2" t="str">
        <x:v>历史图表；最终状态未核验</x:v>
      </x:c>
    </x:row>
    <x:row r="639" ht="24" customHeight="1">
      <x:c r="A639" s="2" t="str">
        <x:v>2024Q4</x:v>
      </x:c>
      <x:c r="B639" s="2" t="str">
        <x:v>Information Technology</x:v>
      </x:c>
      <x:c r="C639" s="2" t="str">
        <x:v>信息技术</x:v>
      </x:c>
      <x:c r="D639" s="16" t="n">
        <x:v>39.915</x:v>
      </x:c>
      <x:c r="E639" s="17" t="str">
        <x:v>曲线近似值</x:v>
      </x:c>
      <x:c r="F639" s="18" t="n">
        <x:v>0.5027</x:v>
      </x:c>
      <x:c r="G639" s="18" t="n">
        <x:v>1719.108</x:v>
      </x:c>
      <x:c r="H639" s="18" t="n">
        <x:v>869.696</x:v>
      </x:c>
      <x:c r="I639" s="2" t="str">
        <x:v>历史图表；最终状态未核验</x:v>
      </x:c>
    </x:row>
    <x:row r="640" ht="24" customHeight="1">
      <x:c r="A640" s="2" t="str">
        <x:v>2024Q4</x:v>
      </x:c>
      <x:c r="B640" s="2" t="str">
        <x:v>Materials</x:v>
      </x:c>
      <x:c r="C640" s="2" t="str">
        <x:v>材料</x:v>
      </x:c>
      <x:c r="D640" s="16" t="n">
        <x:v>5.254</x:v>
      </x:c>
      <x:c r="E640" s="17" t="str">
        <x:v>曲线近似值</x:v>
      </x:c>
      <x:c r="F640" s="18" t="n">
        <x:v>0.0719</x:v>
      </x:c>
      <x:c r="G640" s="18" t="n">
        <x:v>1719.108</x:v>
      </x:c>
      <x:c r="H640" s="18" t="n">
        <x:v>1266.548</x:v>
      </x:c>
      <x:c r="I640" s="2" t="str">
        <x:v>历史图表；最终状态未核验</x:v>
      </x:c>
    </x:row>
    <x:row r="641" ht="24" customHeight="1">
      <x:c r="A641" s="2" t="str">
        <x:v>2024Q4</x:v>
      </x:c>
      <x:c r="B641" s="2" t="str">
        <x:v>Real Estate</x:v>
      </x:c>
      <x:c r="C641" s="2" t="str">
        <x:v>房地产</x:v>
      </x:c>
      <x:c r="D641" s="16" t="n">
        <x:v>3.241</x:v>
      </x:c>
      <x:c r="E641" s="17" t="str">
        <x:v>曲线近似值</x:v>
      </x:c>
      <x:c r="F641" s="18" t="n">
        <x:v>0.0115</x:v>
      </x:c>
      <x:c r="G641" s="18" t="n">
        <x:v>1719.108</x:v>
      </x:c>
      <x:c r="H641" s="18" t="n">
        <x:v>1470.32</x:v>
      </x:c>
      <x:c r="I641" s="2" t="str">
        <x:v>历史图表；最终状态未核验</x:v>
      </x:c>
    </x:row>
    <x:row r="642" ht="24" customHeight="1">
      <x:c r="A642" s="2" t="str">
        <x:v>2024Q4</x:v>
      </x:c>
      <x:c r="B642" s="2" t="str">
        <x:v>Utilities</x:v>
      </x:c>
      <x:c r="C642" s="2" t="str">
        <x:v>公用事业</x:v>
      </x:c>
      <x:c r="D642" s="16" t="n">
        <x:v>4.547</x:v>
      </x:c>
      <x:c r="E642" s="17" t="str">
        <x:v>曲线近似值</x:v>
      </x:c>
      <x:c r="F642" s="18" t="n">
        <x:v>0.036</x:v>
      </x:c>
      <x:c r="G642" s="18" t="n">
        <x:v>1719.108</x:v>
      </x:c>
      <x:c r="H642" s="18" t="n">
        <x:v>1873.407</x:v>
      </x:c>
      <x:c r="I642" s="2" t="str">
        <x:v>历史图表；最终状态未核验</x:v>
      </x:c>
    </x:row>
    <x:row r="643" ht="24" customHeight="1">
      <x:c r="A643" s="2" t="str">
        <x:v>2025Q1</x:v>
      </x:c>
      <x:c r="B643" s="2" t="str">
        <x:v>Communication Services</x:v>
      </x:c>
      <x:c r="C643" s="2" t="str">
        <x:v>通信服务</x:v>
      </x:c>
      <x:c r="D643" s="16" t="n">
        <x:v>4.762</x:v>
      </x:c>
      <x:c r="E643" s="17" t="str">
        <x:v>曲线近似值</x:v>
      </x:c>
      <x:c r="F643" s="18" t="n">
        <x:v>0.0862</x:v>
      </x:c>
      <x:c r="G643" s="18" t="n">
        <x:v>771.128</x:v>
      </x:c>
      <x:c r="H643" s="18" t="n">
        <x:v>588.989</x:v>
      </x:c>
      <x:c r="I643" s="2" t="str">
        <x:v>历史图表；最终状态未核验</x:v>
      </x:c>
    </x:row>
    <x:row r="644" ht="24" customHeight="1">
      <x:c r="A644" s="2" t="str">
        <x:v>2025Q1</x:v>
      </x:c>
      <x:c r="B644" s="2" t="str">
        <x:v>Consumer Discretionary</x:v>
      </x:c>
      <x:c r="C644" s="2" t="str">
        <x:v>可选消费</x:v>
      </x:c>
      <x:c r="D644" s="16" t="n">
        <x:v>12.748</x:v>
      </x:c>
      <x:c r="E644" s="17" t="str">
        <x:v>曲线近似值</x:v>
      </x:c>
      <x:c r="F644" s="18" t="n">
        <x:v>0.2154</x:v>
      </x:c>
      <x:c r="G644" s="18" t="n">
        <x:v>771.128</x:v>
      </x:c>
      <x:c r="H644" s="18" t="n">
        <x:v>910.157</x:v>
      </x:c>
      <x:c r="I644" s="2" t="str">
        <x:v>历史图表；最终状态未核验</x:v>
      </x:c>
    </x:row>
    <x:row r="645" ht="24" customHeight="1">
      <x:c r="A645" s="2" t="str">
        <x:v>2025Q1</x:v>
      </x:c>
      <x:c r="B645" s="2" t="str">
        <x:v>Consumer Staples</x:v>
      </x:c>
      <x:c r="C645" s="2" t="str">
        <x:v>必需消费</x:v>
      </x:c>
      <x:c r="D645" s="16" t="n">
        <x:v>8.972</x:v>
      </x:c>
      <x:c r="E645" s="17" t="str">
        <x:v>曲线近似值</x:v>
      </x:c>
      <x:c r="F645" s="18" t="n">
        <x:v>0.0504</x:v>
      </x:c>
      <x:c r="G645" s="18" t="n">
        <x:v>771.128</x:v>
      </x:c>
      <x:c r="H645" s="18" t="n">
        <x:v>1159.554</x:v>
      </x:c>
      <x:c r="I645" s="2" t="str">
        <x:v>历史图表；最终状态未核验</x:v>
      </x:c>
    </x:row>
    <x:row r="646" ht="24" customHeight="1">
      <x:c r="A646" s="2" t="str">
        <x:v>2025Q1</x:v>
      </x:c>
      <x:c r="B646" s="2" t="str">
        <x:v>Energy</x:v>
      </x:c>
      <x:c r="C646" s="2" t="str">
        <x:v>能源</x:v>
      </x:c>
      <x:c r="D646" s="16" t="n">
        <x:v>9.988</x:v>
      </x:c>
      <x:c r="E646" s="17" t="str">
        <x:v>曲线近似值</x:v>
      </x:c>
      <x:c r="F646" s="18" t="n">
        <x:v>0.2158</x:v>
      </x:c>
      <x:c r="G646" s="18" t="n">
        <x:v>771.128</x:v>
      </x:c>
      <x:c r="H646" s="18" t="n">
        <x:v>1547.112</x:v>
      </x:c>
      <x:c r="I646" s="2" t="str">
        <x:v>历史图表；最终状态未核验</x:v>
      </x:c>
    </x:row>
    <x:row r="647" ht="24" customHeight="1">
      <x:c r="A647" s="2" t="str">
        <x:v>2025Q1</x:v>
      </x:c>
      <x:c r="B647" s="2" t="str">
        <x:v>Financials</x:v>
      </x:c>
      <x:c r="C647" s="2" t="str">
        <x:v>金融</x:v>
      </x:c>
      <x:c r="D647" s="16" t="n">
        <x:v>11.809</x:v>
      </x:c>
      <x:c r="E647" s="17" t="str">
        <x:v>曲线近似值</x:v>
      </x:c>
      <x:c r="F647" s="18" t="n">
        <x:v>0.1007</x:v>
      </x:c>
      <x:c r="G647" s="18" t="n">
        <x:v>771.128</x:v>
      </x:c>
      <x:c r="H647" s="18" t="n">
        <x:v>1820.214</x:v>
      </x:c>
      <x:c r="I647" s="2" t="str">
        <x:v>历史图表；最终状态未核验</x:v>
      </x:c>
    </x:row>
    <x:row r="648" ht="24" customHeight="1">
      <x:c r="A648" s="2" t="str">
        <x:v>2025Q1</x:v>
      </x:c>
      <x:c r="B648" s="2" t="str">
        <x:v>Health Care</x:v>
      </x:c>
      <x:c r="C648" s="2" t="str">
        <x:v>医疗保健</x:v>
      </x:c>
      <x:c r="D648" s="16" t="n">
        <x:v>23.473</x:v>
      </x:c>
      <x:c r="E648" s="17" t="str">
        <x:v>曲线近似值</x:v>
      </x:c>
      <x:c r="F648" s="18" t="n">
        <x:v>0.173</x:v>
      </x:c>
      <x:c r="G648" s="18" t="n">
        <x:v>1731.128</x:v>
      </x:c>
      <x:c r="H648" s="18" t="n">
        <x:v>157.447</x:v>
      </x:c>
      <x:c r="I648" s="2" t="str">
        <x:v>历史图表；最终状态未核验</x:v>
      </x:c>
    </x:row>
    <x:row r="649" ht="24" customHeight="1">
      <x:c r="A649" s="2" t="str">
        <x:v>2025Q1</x:v>
      </x:c>
      <x:c r="B649" s="2" t="str">
        <x:v>Industrials</x:v>
      </x:c>
      <x:c r="C649" s="2" t="str">
        <x:v>工业</x:v>
      </x:c>
      <x:c r="D649" s="16" t="n">
        <x:v>10.896</x:v>
      </x:c>
      <x:c r="E649" s="17" t="str">
        <x:v>曲线近似值</x:v>
      </x:c>
      <x:c r="F649" s="18" t="n">
        <x:v>0.1149</x:v>
      </x:c>
      <x:c r="G649" s="18" t="n">
        <x:v>1731.128</x:v>
      </x:c>
      <x:c r="H649" s="18" t="n">
        <x:v>509.848</x:v>
      </x:c>
      <x:c r="I649" s="2" t="str">
        <x:v>历史图表；最终状态未核验</x:v>
      </x:c>
    </x:row>
    <x:row r="650" ht="24" customHeight="1">
      <x:c r="A650" s="2" t="str">
        <x:v>2025Q1</x:v>
      </x:c>
      <x:c r="B650" s="2" t="str">
        <x:v>Information Technology</x:v>
      </x:c>
      <x:c r="C650" s="2" t="str">
        <x:v>信息技术</x:v>
      </x:c>
      <x:c r="D650" s="16" t="n">
        <x:v>35.626</x:v>
      </x:c>
      <x:c r="E650" s="17" t="str">
        <x:v>曲线近似值</x:v>
      </x:c>
      <x:c r="F650" s="18" t="n">
        <x:v>0.5027</x:v>
      </x:c>
      <x:c r="G650" s="18" t="n">
        <x:v>1731.128</x:v>
      </x:c>
      <x:c r="H650" s="18" t="n">
        <x:v>886.761</x:v>
      </x:c>
      <x:c r="I650" s="2" t="str">
        <x:v>历史图表；最终状态未核验</x:v>
      </x:c>
    </x:row>
    <x:row r="651" ht="24" customHeight="1">
      <x:c r="A651" s="2" t="str">
        <x:v>2025Q1</x:v>
      </x:c>
      <x:c r="B651" s="2" t="str">
        <x:v>Materials</x:v>
      </x:c>
      <x:c r="C651" s="2" t="str">
        <x:v>材料</x:v>
      </x:c>
      <x:c r="D651" s="16" t="n">
        <x:v>5.598</x:v>
      </x:c>
      <x:c r="E651" s="17" t="str">
        <x:v>曲线近似值</x:v>
      </x:c>
      <x:c r="F651" s="18" t="n">
        <x:v>0.0719</x:v>
      </x:c>
      <x:c r="G651" s="18" t="n">
        <x:v>1731.128</x:v>
      </x:c>
      <x:c r="H651" s="18" t="n">
        <x:v>1256.963</x:v>
      </x:c>
      <x:c r="I651" s="2" t="str">
        <x:v>历史图表；最终状态未核验</x:v>
      </x:c>
    </x:row>
    <x:row r="652" ht="24" customHeight="1">
      <x:c r="A652" s="2" t="str">
        <x:v>2025Q1</x:v>
      </x:c>
      <x:c r="B652" s="2" t="str">
        <x:v>Real Estate</x:v>
      </x:c>
      <x:c r="C652" s="2" t="str">
        <x:v>房地产</x:v>
      </x:c>
      <x:c r="D652" s="16" t="n">
        <x:v>2.781</x:v>
      </x:c>
      <x:c r="E652" s="17" t="str">
        <x:v>曲线近似值</x:v>
      </x:c>
      <x:c r="F652" s="18" t="n">
        <x:v>0.0115</x:v>
      </x:c>
      <x:c r="G652" s="18" t="n">
        <x:v>1731.128</x:v>
      </x:c>
      <x:c r="H652" s="18" t="n">
        <x:v>1550.34</x:v>
      </x:c>
      <x:c r="I652" s="2" t="str">
        <x:v>历史图表；最终状态未核验</x:v>
      </x:c>
    </x:row>
    <x:row r="653" ht="24" customHeight="1">
      <x:c r="A653" s="2" t="str">
        <x:v>2025Q1</x:v>
      </x:c>
      <x:c r="B653" s="2" t="str">
        <x:v>Utilities</x:v>
      </x:c>
      <x:c r="C653" s="2" t="str">
        <x:v>公用事业</x:v>
      </x:c>
      <x:c r="D653" s="16" t="n">
        <x:v>5.719</x:v>
      </x:c>
      <x:c r="E653" s="17" t="str">
        <x:v>曲线近似值</x:v>
      </x:c>
      <x:c r="F653" s="18" t="n">
        <x:v>0.036</x:v>
      </x:c>
      <x:c r="G653" s="18" t="n">
        <x:v>1731.128</x:v>
      </x:c>
      <x:c r="H653" s="18" t="n">
        <x:v>1808.232</x:v>
      </x:c>
      <x:c r="I653" s="2" t="str">
        <x:v>历史图表；最终状态未核验</x:v>
      </x:c>
    </x:row>
    <x:row r="654" ht="24" customHeight="1">
      <x:c r="A654" s="2" t="str">
        <x:v>2025Q2</x:v>
      </x:c>
      <x:c r="B654" s="2" t="str">
        <x:v>Communication Services</x:v>
      </x:c>
      <x:c r="C654" s="2" t="str">
        <x:v>通信服务</x:v>
      </x:c>
      <x:c r="D654" s="16" t="n">
        <x:v>4.759</x:v>
      </x:c>
      <x:c r="E654" s="17" t="str">
        <x:v>曲线近似值</x:v>
      </x:c>
      <x:c r="F654" s="18" t="n">
        <x:v>0.0862</x:v>
      </x:c>
      <x:c r="G654" s="18" t="n">
        <x:v>783.014</x:v>
      </x:c>
      <x:c r="H654" s="18" t="n">
        <x:v>589.047</x:v>
      </x:c>
      <x:c r="I654" s="2" t="str">
        <x:v>历史图表；最终状态未核验</x:v>
      </x:c>
    </x:row>
    <x:row r="655" ht="24" customHeight="1">
      <x:c r="A655" s="2" t="str">
        <x:v>2025Q2</x:v>
      </x:c>
      <x:c r="B655" s="2" t="str">
        <x:v>Consumer Discretionary</x:v>
      </x:c>
      <x:c r="C655" s="2" t="str">
        <x:v>可选消费</x:v>
      </x:c>
      <x:c r="D655" s="16" t="n">
        <x:v>15.677</x:v>
      </x:c>
      <x:c r="E655" s="17" t="str">
        <x:v>曲线近似值</x:v>
      </x:c>
      <x:c r="F655" s="18" t="n">
        <x:v>0.2154</x:v>
      </x:c>
      <x:c r="G655" s="18" t="n">
        <x:v>783.014</x:v>
      </x:c>
      <x:c r="H655" s="18" t="n">
        <x:v>882.966</x:v>
      </x:c>
      <x:c r="I655" s="2" t="str">
        <x:v>历史图表；最终状态未核验</x:v>
      </x:c>
    </x:row>
    <x:row r="656" ht="24" customHeight="1">
      <x:c r="A656" s="2" t="str">
        <x:v>2025Q2</x:v>
      </x:c>
      <x:c r="B656" s="2" t="str">
        <x:v>Consumer Staples</x:v>
      </x:c>
      <x:c r="C656" s="2" t="str">
        <x:v>必需消费</x:v>
      </x:c>
      <x:c r="D656" s="16" t="n">
        <x:v>9.78</x:v>
      </x:c>
      <x:c r="E656" s="17" t="str">
        <x:v>曲线近似值</x:v>
      </x:c>
      <x:c r="F656" s="18" t="n">
        <x:v>0.0504</x:v>
      </x:c>
      <x:c r="G656" s="18" t="n">
        <x:v>783.014</x:v>
      </x:c>
      <x:c r="H656" s="18" t="n">
        <x:v>1127.471</x:v>
      </x:c>
      <x:c r="I656" s="2" t="str">
        <x:v>历史图表；最终状态未核验</x:v>
      </x:c>
    </x:row>
    <x:row r="657" ht="24" customHeight="1">
      <x:c r="A657" s="2" t="str">
        <x:v>2025Q2</x:v>
      </x:c>
      <x:c r="B657" s="2" t="str">
        <x:v>Energy</x:v>
      </x:c>
      <x:c r="C657" s="2" t="str">
        <x:v>能源</x:v>
      </x:c>
      <x:c r="D657" s="16" t="n">
        <x:v>9.834</x:v>
      </x:c>
      <x:c r="E657" s="17" t="str">
        <x:v>曲线近似值</x:v>
      </x:c>
      <x:c r="F657" s="18" t="n">
        <x:v>0.2158</x:v>
      </x:c>
      <x:c r="G657" s="18" t="n">
        <x:v>783.014</x:v>
      </x:c>
      <x:c r="H657" s="18" t="n">
        <x:v>1548.542</x:v>
      </x:c>
      <x:c r="I657" s="2" t="str">
        <x:v>历史图表；最终状态未核验</x:v>
      </x:c>
    </x:row>
    <x:row r="658" ht="24" customHeight="1">
      <x:c r="A658" s="2" t="str">
        <x:v>2025Q2</x:v>
      </x:c>
      <x:c r="B658" s="2" t="str">
        <x:v>Financials</x:v>
      </x:c>
      <x:c r="C658" s="2" t="str">
        <x:v>金融</x:v>
      </x:c>
      <x:c r="D658" s="16" t="n">
        <x:v>12.972</x:v>
      </x:c>
      <x:c r="E658" s="17" t="str">
        <x:v>曲线近似值</x:v>
      </x:c>
      <x:c r="F658" s="18" t="n">
        <x:v>0.1007</x:v>
      </x:c>
      <x:c r="G658" s="18" t="n">
        <x:v>783.014</x:v>
      </x:c>
      <x:c r="H658" s="18" t="n">
        <x:v>1797.133</x:v>
      </x:c>
      <x:c r="I658" s="2" t="str">
        <x:v>历史图表；最终状态未核验</x:v>
      </x:c>
    </x:row>
    <x:row r="659" ht="24" customHeight="1">
      <x:c r="A659" s="2" t="str">
        <x:v>2025Q2</x:v>
      </x:c>
      <x:c r="B659" s="2" t="str">
        <x:v>Health Care</x:v>
      </x:c>
      <x:c r="C659" s="2" t="str">
        <x:v>医疗保健</x:v>
      </x:c>
      <x:c r="D659" s="16" t="n">
        <x:v>23.025</x:v>
      </x:c>
      <x:c r="E659" s="17" t="str">
        <x:v>曲线近似值</x:v>
      </x:c>
      <x:c r="F659" s="18" t="n">
        <x:v>0.173</x:v>
      </x:c>
      <x:c r="G659" s="18" t="n">
        <x:v>1743.014</x:v>
      </x:c>
      <x:c r="H659" s="18" t="n">
        <x:v>162.632</x:v>
      </x:c>
      <x:c r="I659" s="2" t="str">
        <x:v>历史图表；最终状态未核验</x:v>
      </x:c>
    </x:row>
    <x:row r="660" ht="24" customHeight="1">
      <x:c r="A660" s="2" t="str">
        <x:v>2025Q2</x:v>
      </x:c>
      <x:c r="B660" s="2" t="str">
        <x:v>Industrials</x:v>
      </x:c>
      <x:c r="C660" s="2" t="str">
        <x:v>工业</x:v>
      </x:c>
      <x:c r="D660" s="16" t="n">
        <x:v>12.312</x:v>
      </x:c>
      <x:c r="E660" s="17" t="str">
        <x:v>曲线近似值</x:v>
      </x:c>
      <x:c r="F660" s="18" t="n">
        <x:v>0.1149</x:v>
      </x:c>
      <x:c r="G660" s="18" t="n">
        <x:v>1743.014</x:v>
      </x:c>
      <x:c r="H660" s="18" t="n">
        <x:v>485.186</x:v>
      </x:c>
      <x:c r="I660" s="2" t="str">
        <x:v>历史图表；最终状态未核验</x:v>
      </x:c>
    </x:row>
    <x:row r="661" ht="24" customHeight="1">
      <x:c r="A661" s="2" t="str">
        <x:v>2025Q2</x:v>
      </x:c>
      <x:c r="B661" s="2" t="str">
        <x:v>Information Technology</x:v>
      </x:c>
      <x:c r="C661" s="2" t="str">
        <x:v>信息技术</x:v>
      </x:c>
      <x:c r="D661" s="16" t="n">
        <x:v>37.905</x:v>
      </x:c>
      <x:c r="E661" s="17" t="str">
        <x:v>曲线近似值</x:v>
      </x:c>
      <x:c r="F661" s="18" t="n">
        <x:v>0.5027</x:v>
      </x:c>
      <x:c r="G661" s="18" t="n">
        <x:v>1743.014</x:v>
      </x:c>
      <x:c r="H661" s="18" t="n">
        <x:v>877.694</x:v>
      </x:c>
      <x:c r="I661" s="2" t="str">
        <x:v>历史图表；最终状态未核验</x:v>
      </x:c>
    </x:row>
    <x:row r="662" ht="24" customHeight="1">
      <x:c r="A662" s="2" t="str">
        <x:v>2025Q2</x:v>
      </x:c>
      <x:c r="B662" s="2" t="str">
        <x:v>Materials</x:v>
      </x:c>
      <x:c r="C662" s="2" t="str">
        <x:v>材料</x:v>
      </x:c>
      <x:c r="D662" s="16" t="n">
        <x:v>7.115</x:v>
      </x:c>
      <x:c r="E662" s="17" t="str">
        <x:v>曲线近似值</x:v>
      </x:c>
      <x:c r="F662" s="18" t="n">
        <x:v>0.0719</x:v>
      </x:c>
      <x:c r="G662" s="18" t="n">
        <x:v>1743.014</x:v>
      </x:c>
      <x:c r="H662" s="18" t="n">
        <x:v>1214.796</x:v>
      </x:c>
      <x:c r="I662" s="2" t="str">
        <x:v>历史图表；最终状态未核验</x:v>
      </x:c>
    </x:row>
    <x:row r="663" ht="24" customHeight="1">
      <x:c r="A663" s="2" t="str">
        <x:v>2025Q2</x:v>
      </x:c>
      <x:c r="B663" s="2" t="str">
        <x:v>Real Estate</x:v>
      </x:c>
      <x:c r="C663" s="2" t="str">
        <x:v>房地产</x:v>
      </x:c>
      <x:c r="D663" s="16" t="n">
        <x:v>3.071</x:v>
      </x:c>
      <x:c r="E663" s="17" t="str">
        <x:v>曲线近似值</x:v>
      </x:c>
      <x:c r="F663" s="18" t="n">
        <x:v>0.0115</x:v>
      </x:c>
      <x:c r="G663" s="18" t="n">
        <x:v>1743.014</x:v>
      </x:c>
      <x:c r="H663" s="18" t="n">
        <x:v>1499.828</x:v>
      </x:c>
      <x:c r="I663" s="2" t="str">
        <x:v>历史图表；最终状态未核验</x:v>
      </x:c>
    </x:row>
    <x:row r="664" ht="24" customHeight="1">
      <x:c r="A664" s="2" t="str">
        <x:v>2025Q2</x:v>
      </x:c>
      <x:c r="B664" s="2" t="str">
        <x:v>Utilities</x:v>
      </x:c>
      <x:c r="C664" s="2" t="str">
        <x:v>公用事业</x:v>
      </x:c>
      <x:c r="D664" s="16" t="n">
        <x:v>4.593</x:v>
      </x:c>
      <x:c r="E664" s="17" t="str">
        <x:v>曲线近似值</x:v>
      </x:c>
      <x:c r="F664" s="18" t="n">
        <x:v>0.036</x:v>
      </x:c>
      <x:c r="G664" s="18" t="n">
        <x:v>1743.014</x:v>
      </x:c>
      <x:c r="H664" s="18" t="n">
        <x:v>1870.852</x:v>
      </x:c>
      <x:c r="I664" s="2" t="str">
        <x:v>历史图表；最终状态未核验</x:v>
      </x:c>
    </x:row>
    <x:row r="665" ht="24" customHeight="1">
      <x:c r="A665" s="2" t="str">
        <x:v>2025Q3</x:v>
      </x:c>
      <x:c r="B665" s="2" t="str">
        <x:v>Communication Services</x:v>
      </x:c>
      <x:c r="C665" s="2" t="str">
        <x:v>通信服务</x:v>
      </x:c>
      <x:c r="D665" s="16" t="n">
        <x:v>3.926</x:v>
      </x:c>
      <x:c r="E665" s="17" t="str">
        <x:v>曲线近似值</x:v>
      </x:c>
      <x:c r="F665" s="18" t="n">
        <x:v>0.0862</x:v>
      </x:c>
      <x:c r="G665" s="18" t="n">
        <x:v>793.663</x:v>
      </x:c>
      <x:c r="H665" s="18" t="n">
        <x:v>608.378</x:v>
      </x:c>
      <x:c r="I665" s="2" t="str">
        <x:v>历史图表；最终状态未核验</x:v>
      </x:c>
    </x:row>
    <x:row r="666" ht="24" customHeight="1">
      <x:c r="A666" s="2" t="str">
        <x:v>2025Q3</x:v>
      </x:c>
      <x:c r="B666" s="2" t="str">
        <x:v>Consumer Discretionary</x:v>
      </x:c>
      <x:c r="C666" s="2" t="str">
        <x:v>可选消费</x:v>
      </x:c>
      <x:c r="D666" s="16" t="n">
        <x:v>17.518</x:v>
      </x:c>
      <x:c r="E666" s="17" t="str">
        <x:v>曲线近似值</x:v>
      </x:c>
      <x:c r="F666" s="18" t="n">
        <x:v>0.2154</x:v>
      </x:c>
      <x:c r="G666" s="18" t="n">
        <x:v>793.663</x:v>
      </x:c>
      <x:c r="H666" s="18" t="n">
        <x:v>865.87</x:v>
      </x:c>
      <x:c r="I666" s="2" t="str">
        <x:v>历史图表；最终状态未核验</x:v>
      </x:c>
    </x:row>
    <x:row r="667" ht="24" customHeight="1">
      <x:c r="A667" s="2" t="str">
        <x:v>2025Q3</x:v>
      </x:c>
      <x:c r="B667" s="2" t="str">
        <x:v>Consumer Staples</x:v>
      </x:c>
      <x:c r="C667" s="2" t="str">
        <x:v>必需消费</x:v>
      </x:c>
      <x:c r="D667" s="16" t="n">
        <x:v>10.313</x:v>
      </x:c>
      <x:c r="E667" s="17" t="str">
        <x:v>曲线近似值</x:v>
      </x:c>
      <x:c r="F667" s="18" t="n">
        <x:v>0.0504</x:v>
      </x:c>
      <x:c r="G667" s="18" t="n">
        <x:v>793.663</x:v>
      </x:c>
      <x:c r="H667" s="18" t="n">
        <x:v>1106.277</x:v>
      </x:c>
      <x:c r="I667" s="2" t="str">
        <x:v>历史图表；最终状态未核验</x:v>
      </x:c>
    </x:row>
    <x:row r="668" ht="24" customHeight="1">
      <x:c r="A668" s="2" t="str">
        <x:v>2025Q3</x:v>
      </x:c>
      <x:c r="B668" s="2" t="str">
        <x:v>Energy</x:v>
      </x:c>
      <x:c r="C668" s="2" t="str">
        <x:v>能源</x:v>
      </x:c>
      <x:c r="D668" s="16" t="n">
        <x:v>10.698</x:v>
      </x:c>
      <x:c r="E668" s="17" t="str">
        <x:v>曲线近似值</x:v>
      </x:c>
      <x:c r="F668" s="18" t="n">
        <x:v>0.2158</x:v>
      </x:c>
      <x:c r="G668" s="18" t="n">
        <x:v>793.663</x:v>
      </x:c>
      <x:c r="H668" s="18" t="n">
        <x:v>1540.528</x:v>
      </x:c>
      <x:c r="I668" s="2" t="str">
        <x:v>历史图表；最终状态未核验</x:v>
      </x:c>
    </x:row>
    <x:row r="669" ht="24" customHeight="1">
      <x:c r="A669" s="2" t="str">
        <x:v>2025Q3</x:v>
      </x:c>
      <x:c r="B669" s="2" t="str">
        <x:v>Financials</x:v>
      </x:c>
      <x:c r="C669" s="2" t="str">
        <x:v>金融</x:v>
      </x:c>
      <x:c r="D669" s="16" t="n">
        <x:v>13.65</x:v>
      </x:c>
      <x:c r="E669" s="17" t="str">
        <x:v>曲线近似值</x:v>
      </x:c>
      <x:c r="F669" s="18" t="n">
        <x:v>0.1007</x:v>
      </x:c>
      <x:c r="G669" s="18" t="n">
        <x:v>793.663</x:v>
      </x:c>
      <x:c r="H669" s="18" t="n">
        <x:v>1783.659</x:v>
      </x:c>
      <x:c r="I669" s="2" t="str">
        <x:v>历史图表；最终状态未核验</x:v>
      </x:c>
    </x:row>
    <x:row r="670" ht="24" customHeight="1">
      <x:c r="A670" s="2" t="str">
        <x:v>2025Q3</x:v>
      </x:c>
      <x:c r="B670" s="2" t="str">
        <x:v>Health Care</x:v>
      </x:c>
      <x:c r="C670" s="2" t="str">
        <x:v>医疗保健</x:v>
      </x:c>
      <x:c r="D670" s="16" t="n">
        <x:v>23.127</x:v>
      </x:c>
      <x:c r="E670" s="17" t="str">
        <x:v>曲线近似值</x:v>
      </x:c>
      <x:c r="F670" s="18" t="n">
        <x:v>0.173</x:v>
      </x:c>
      <x:c r="G670" s="18" t="n">
        <x:v>1753.663</x:v>
      </x:c>
      <x:c r="H670" s="18" t="n">
        <x:v>161.453</x:v>
      </x:c>
      <x:c r="I670" s="2" t="str">
        <x:v>历史图表；最终状态未核验</x:v>
      </x:c>
    </x:row>
    <x:row r="671" ht="24" customHeight="1">
      <x:c r="A671" s="2" t="str">
        <x:v>2025Q3</x:v>
      </x:c>
      <x:c r="B671" s="2" t="str">
        <x:v>Industrials</x:v>
      </x:c>
      <x:c r="C671" s="2" t="str">
        <x:v>工业</x:v>
      </x:c>
      <x:c r="D671" s="16" t="n">
        <x:v>12.408</x:v>
      </x:c>
      <x:c r="E671" s="17" t="str">
        <x:v>曲线近似值</x:v>
      </x:c>
      <x:c r="F671" s="18" t="n">
        <x:v>0.1149</x:v>
      </x:c>
      <x:c r="G671" s="18" t="n">
        <x:v>1753.663</x:v>
      </x:c>
      <x:c r="H671" s="18" t="n">
        <x:v>483.531</x:v>
      </x:c>
      <x:c r="I671" s="2" t="str">
        <x:v>历史图表；最终状态未核验</x:v>
      </x:c>
    </x:row>
    <x:row r="672" ht="24" customHeight="1">
      <x:c r="A672" s="2" t="str">
        <x:v>2025Q3</x:v>
      </x:c>
      <x:c r="B672" s="2" t="str">
        <x:v>Information Technology</x:v>
      </x:c>
      <x:c r="C672" s="2" t="str">
        <x:v>信息技术</x:v>
      </x:c>
      <x:c r="D672" s="16" t="n">
        <x:v>43.475</x:v>
      </x:c>
      <x:c r="E672" s="17" t="str">
        <x:v>曲线近似值</x:v>
      </x:c>
      <x:c r="F672" s="18" t="n">
        <x:v>0.5027</x:v>
      </x:c>
      <x:c r="G672" s="18" t="n">
        <x:v>1753.663</x:v>
      </x:c>
      <x:c r="H672" s="18" t="n">
        <x:v>855.532</x:v>
      </x:c>
      <x:c r="I672" s="2" t="str">
        <x:v>历史图表；最终状态未核验</x:v>
      </x:c>
    </x:row>
    <x:row r="673" ht="24" customHeight="1">
      <x:c r="A673" s="2" t="str">
        <x:v>2025Q3</x:v>
      </x:c>
      <x:c r="B673" s="2" t="str">
        <x:v>Materials</x:v>
      </x:c>
      <x:c r="C673" s="2" t="str">
        <x:v>材料</x:v>
      </x:c>
      <x:c r="D673" s="16" t="n">
        <x:v>6.484</x:v>
      </x:c>
      <x:c r="E673" s="17" t="str">
        <x:v>曲线近似值</x:v>
      </x:c>
      <x:c r="F673" s="18" t="n">
        <x:v>0.0719</x:v>
      </x:c>
      <x:c r="G673" s="18" t="n">
        <x:v>1753.663</x:v>
      </x:c>
      <x:c r="H673" s="18" t="n">
        <x:v>1232.346</x:v>
      </x:c>
      <x:c r="I673" s="2" t="str">
        <x:v>历史图表；最终状态未核验</x:v>
      </x:c>
    </x:row>
    <x:row r="674" ht="24" customHeight="1">
      <x:c r="A674" s="2" t="str">
        <x:v>2025Q3</x:v>
      </x:c>
      <x:c r="B674" s="2" t="str">
        <x:v>Real Estate</x:v>
      </x:c>
      <x:c r="C674" s="2" t="str">
        <x:v>房地产</x:v>
      </x:c>
      <x:c r="D674" s="16" t="n">
        <x:v>3.19</x:v>
      </x:c>
      <x:c r="E674" s="17" t="str">
        <x:v>曲线近似值</x:v>
      </x:c>
      <x:c r="F674" s="18" t="n">
        <x:v>0.0115</x:v>
      </x:c>
      <x:c r="G674" s="18" t="n">
        <x:v>1753.663</x:v>
      </x:c>
      <x:c r="H674" s="18" t="n">
        <x:v>1479.176</x:v>
      </x:c>
      <x:c r="I674" s="2" t="str">
        <x:v>历史图表；最终状态未核验</x:v>
      </x:c>
    </x:row>
    <x:row r="675" ht="24" customHeight="1">
      <x:c r="A675" s="2" t="str">
        <x:v>2025Q3</x:v>
      </x:c>
      <x:c r="B675" s="2" t="str">
        <x:v>Utilities</x:v>
      </x:c>
      <x:c r="C675" s="2" t="str">
        <x:v>公用事业</x:v>
      </x:c>
      <x:c r="D675" s="16" t="n">
        <x:v>6.958</x:v>
      </x:c>
      <x:c r="E675" s="17" t="str">
        <x:v>曲线近似值</x:v>
      </x:c>
      <x:c r="F675" s="18" t="n">
        <x:v>0.036</x:v>
      </x:c>
      <x:c r="G675" s="18" t="n">
        <x:v>1753.663</x:v>
      </x:c>
      <x:c r="H675" s="18" t="n">
        <x:v>1739.354</x:v>
      </x:c>
      <x:c r="I675" s="2" t="str">
        <x:v>历史图表；最终状态未核验</x:v>
      </x:c>
    </x:row>
    <x:row r="676" ht="24" customHeight="1">
      <x:c r="A676" s="2" t="str">
        <x:v>2025Q4</x:v>
      </x:c>
      <x:c r="B676" s="2" t="str">
        <x:v>Communication Services</x:v>
      </x:c>
      <x:c r="C676" s="2" t="str">
        <x:v>通信服务</x:v>
      </x:c>
      <x:c r="D676" s="16" t="n">
        <x:v>5.028</x:v>
      </x:c>
      <x:c r="E676" s="17" t="str">
        <x:v>曲线近似值</x:v>
      </x:c>
      <x:c r="F676" s="18" t="n">
        <x:v>0.0862</x:v>
      </x:c>
      <x:c r="G676" s="18" t="n">
        <x:v>805.579</x:v>
      </x:c>
      <x:c r="H676" s="18" t="n">
        <x:v>582.803</x:v>
      </x:c>
      <x:c r="I676" s="2" t="str">
        <x:v>历史图表；最终状态未核验</x:v>
      </x:c>
    </x:row>
    <x:row r="677" ht="24" customHeight="1">
      <x:c r="A677" s="2" t="str">
        <x:v>2025Q4</x:v>
      </x:c>
      <x:c r="B677" s="2" t="str">
        <x:v>Consumer Discretionary</x:v>
      </x:c>
      <x:c r="C677" s="2" t="str">
        <x:v>可选消费</x:v>
      </x:c>
      <x:c r="D677" s="16" t="n">
        <x:v>14.946</x:v>
      </x:c>
      <x:c r="E677" s="17" t="str">
        <x:v>曲线近似值</x:v>
      </x:c>
      <x:c r="F677" s="18" t="n">
        <x:v>0.2154</x:v>
      </x:c>
      <x:c r="G677" s="18" t="n">
        <x:v>805.579</x:v>
      </x:c>
      <x:c r="H677" s="18" t="n">
        <x:v>889.753</x:v>
      </x:c>
      <x:c r="I677" s="2" t="str">
        <x:v>历史图表；最终状态未核验</x:v>
      </x:c>
    </x:row>
    <x:row r="678" ht="24" customHeight="1">
      <x:c r="A678" s="2" t="str">
        <x:v>2025Q4</x:v>
      </x:c>
      <x:c r="B678" s="2" t="str">
        <x:v>Consumer Staples</x:v>
      </x:c>
      <x:c r="C678" s="2" t="str">
        <x:v>必需消费</x:v>
      </x:c>
      <x:c r="D678" s="16" t="n">
        <x:v>9.91</x:v>
      </x:c>
      <x:c r="E678" s="17" t="str">
        <x:v>曲线近似值</x:v>
      </x:c>
      <x:c r="F678" s="18" t="n">
        <x:v>0.0504</x:v>
      </x:c>
      <x:c r="G678" s="18" t="n">
        <x:v>805.579</x:v>
      </x:c>
      <x:c r="H678" s="18" t="n">
        <x:v>1122.294</x:v>
      </x:c>
      <x:c r="I678" s="2" t="str">
        <x:v>历史图表；最终状态未核验</x:v>
      </x:c>
    </x:row>
    <x:row r="679" ht="24" customHeight="1">
      <x:c r="A679" s="2" t="str">
        <x:v>2025Q4</x:v>
      </x:c>
      <x:c r="B679" s="2" t="str">
        <x:v>Energy</x:v>
      </x:c>
      <x:c r="C679" s="2" t="str">
        <x:v>能源</x:v>
      </x:c>
      <x:c r="D679" s="16" t="n">
        <x:v>10.068</x:v>
      </x:c>
      <x:c r="E679" s="17" t="str">
        <x:v>曲线近似值</x:v>
      </x:c>
      <x:c r="F679" s="18" t="n">
        <x:v>0.2158</x:v>
      </x:c>
      <x:c r="G679" s="18" t="n">
        <x:v>805.579</x:v>
      </x:c>
      <x:c r="H679" s="18" t="n">
        <x:v>1546.373</x:v>
      </x:c>
      <x:c r="I679" s="2" t="str">
        <x:v>历史图表；最终状态未核验</x:v>
      </x:c>
    </x:row>
    <x:row r="680" ht="24" customHeight="1">
      <x:c r="A680" s="2" t="str">
        <x:v>2025Q4</x:v>
      </x:c>
      <x:c r="B680" s="2" t="str">
        <x:v>Financials</x:v>
      </x:c>
      <x:c r="C680" s="2" t="str">
        <x:v>金融</x:v>
      </x:c>
      <x:c r="D680" s="16" t="n">
        <x:v>13.24</x:v>
      </x:c>
      <x:c r="E680" s="17" t="str">
        <x:v>曲线近似值</x:v>
      </x:c>
      <x:c r="F680" s="18" t="n">
        <x:v>0.1007</x:v>
      </x:c>
      <x:c r="G680" s="18" t="n">
        <x:v>805.579</x:v>
      </x:c>
      <x:c r="H680" s="18" t="n">
        <x:v>1791.806</x:v>
      </x:c>
      <x:c r="I680" s="2" t="str">
        <x:v>历史图表；最终状态未核验</x:v>
      </x:c>
    </x:row>
    <x:row r="681" ht="24" customHeight="1">
      <x:c r="A681" s="2" t="str">
        <x:v>2025Q4</x:v>
      </x:c>
      <x:c r="B681" s="2" t="str">
        <x:v>Health Care</x:v>
      </x:c>
      <x:c r="C681" s="2" t="str">
        <x:v>医疗保健</x:v>
      </x:c>
      <x:c r="D681" s="16" t="n">
        <x:v>21.097</x:v>
      </x:c>
      <x:c r="E681" s="17" t="str">
        <x:v>曲线近似值</x:v>
      </x:c>
      <x:c r="F681" s="18" t="n">
        <x:v>0.173</x:v>
      </x:c>
      <x:c r="G681" s="18" t="n">
        <x:v>1765.579</x:v>
      </x:c>
      <x:c r="H681" s="18" t="n">
        <x:v>184.913</x:v>
      </x:c>
      <x:c r="I681" s="2" t="str">
        <x:v>历史图表；最终状态未核验</x:v>
      </x:c>
    </x:row>
    <x:row r="682" ht="24" customHeight="1">
      <x:c r="A682" s="2" t="str">
        <x:v>2025Q4</x:v>
      </x:c>
      <x:c r="B682" s="2" t="str">
        <x:v>Industrials</x:v>
      </x:c>
      <x:c r="C682" s="2" t="str">
        <x:v>工业</x:v>
      </x:c>
      <x:c r="D682" s="16" t="n">
        <x:v>14.262</x:v>
      </x:c>
      <x:c r="E682" s="17" t="str">
        <x:v>曲线近似值</x:v>
      </x:c>
      <x:c r="F682" s="18" t="n">
        <x:v>0.1149</x:v>
      </x:c>
      <x:c r="G682" s="18" t="n">
        <x:v>1765.579</x:v>
      </x:c>
      <x:c r="H682" s="18" t="n">
        <x:v>451.259</x:v>
      </x:c>
      <x:c r="I682" s="2" t="str">
        <x:v>历史图表；最终状态未核验</x:v>
      </x:c>
    </x:row>
    <x:row r="683" ht="24" customHeight="1">
      <x:c r="A683" s="2" t="str">
        <x:v>2025Q4</x:v>
      </x:c>
      <x:c r="B683" s="2" t="str">
        <x:v>Information Technology</x:v>
      </x:c>
      <x:c r="C683" s="2" t="str">
        <x:v>信息技术</x:v>
      </x:c>
      <x:c r="D683" s="16" t="n">
        <x:v>52.564</x:v>
      </x:c>
      <x:c r="E683" s="17" t="str">
        <x:v>曲线近似值</x:v>
      </x:c>
      <x:c r="F683" s="18" t="n">
        <x:v>0.5027</x:v>
      </x:c>
      <x:c r="G683" s="18" t="n">
        <x:v>1765.579</x:v>
      </x:c>
      <x:c r="H683" s="18" t="n">
        <x:v>819.37</x:v>
      </x:c>
      <x:c r="I683" s="2" t="str">
        <x:v>历史图表；最终状态未核验</x:v>
      </x:c>
    </x:row>
    <x:row r="684" ht="24" customHeight="1">
      <x:c r="A684" s="2" t="str">
        <x:v>2025Q4</x:v>
      </x:c>
      <x:c r="B684" s="2" t="str">
        <x:v>Materials</x:v>
      </x:c>
      <x:c r="C684" s="2" t="str">
        <x:v>材料</x:v>
      </x:c>
      <x:c r="D684" s="16" t="n">
        <x:v>6.14</x:v>
      </x:c>
      <x:c r="E684" s="17" t="str">
        <x:v>曲线近似值</x:v>
      </x:c>
      <x:c r="F684" s="18" t="n">
        <x:v>0.0719</x:v>
      </x:c>
      <x:c r="G684" s="18" t="n">
        <x:v>1765.579</x:v>
      </x:c>
      <x:c r="H684" s="18" t="n">
        <x:v>1241.903</x:v>
      </x:c>
      <x:c r="I684" s="2" t="str">
        <x:v>历史图表；最终状态未核验</x:v>
      </x:c>
    </x:row>
    <x:row r="685" ht="24" customHeight="1">
      <x:c r="A685" s="2" t="str">
        <x:v>2025Q4</x:v>
      </x:c>
      <x:c r="B685" s="2" t="str">
        <x:v>Real Estate</x:v>
      </x:c>
      <x:c r="C685" s="2" t="str">
        <x:v>房地产</x:v>
      </x:c>
      <x:c r="D685" s="16" t="n">
        <x:v>3.419</x:v>
      </x:c>
      <x:c r="E685" s="17" t="str">
        <x:v>曲线近似值</x:v>
      </x:c>
      <x:c r="F685" s="18" t="n">
        <x:v>0.0115</x:v>
      </x:c>
      <x:c r="G685" s="18" t="n">
        <x:v>1765.579</x:v>
      </x:c>
      <x:c r="H685" s="18" t="n">
        <x:v>1439.399</x:v>
      </x:c>
      <x:c r="I685" s="2" t="str">
        <x:v>历史图表；最终状态未核验</x:v>
      </x:c>
    </x:row>
    <x:row r="686" ht="24" customHeight="1">
      <x:c r="A686" s="2" t="str">
        <x:v>2025Q4</x:v>
      </x:c>
      <x:c r="B686" s="2" t="str">
        <x:v>Utilities</x:v>
      </x:c>
      <x:c r="C686" s="2" t="str">
        <x:v>公用事业</x:v>
      </x:c>
      <x:c r="D686" s="16" t="n">
        <x:v>4.527</x:v>
      </x:c>
      <x:c r="E686" s="17" t="str">
        <x:v>曲线近似值</x:v>
      </x:c>
      <x:c r="F686" s="18" t="n">
        <x:v>0.036</x:v>
      </x:c>
      <x:c r="G686" s="18" t="n">
        <x:v>1765.579</x:v>
      </x:c>
      <x:c r="H686" s="18" t="n">
        <x:v>1874.472</x:v>
      </x:c>
      <x:c r="I686" s="2" t="str">
        <x:v>历史图表；最终状态未核验</x:v>
      </x:c>
    </x:row>
    <x:row r="687" ht="24" customHeight="1">
      <x:c r="A687" s="2" t="str">
        <x:v>2026Q1</x:v>
      </x:c>
      <x:c r="B687" s="2" t="str">
        <x:v>Communication Services</x:v>
      </x:c>
      <x:c r="C687" s="2" t="str">
        <x:v>通信服务</x:v>
      </x:c>
      <x:c r="D687" s="16" t="n">
        <x:v>7.118</x:v>
      </x:c>
      <x:c r="E687" s="17" t="str">
        <x:v>曲线近似值</x:v>
      </x:c>
      <x:c r="F687" s="18" t="n">
        <x:v>0.0862</x:v>
      </x:c>
      <x:c r="G687" s="18" t="n">
        <x:v>818.981</x:v>
      </x:c>
      <x:c r="H687" s="18" t="n">
        <x:v>534.296</x:v>
      </x:c>
      <x:c r="I687" s="2" t="str">
        <x:v>历史图表；最终状态未核验</x:v>
      </x:c>
    </x:row>
    <x:row r="688" ht="24" customHeight="1">
      <x:c r="A688" s="2" t="str">
        <x:v>2026Q1</x:v>
      </x:c>
      <x:c r="B688" s="2" t="str">
        <x:v>Consumer Discretionary</x:v>
      </x:c>
      <x:c r="C688" s="2" t="str">
        <x:v>可选消费</x:v>
      </x:c>
      <x:c r="D688" s="16" t="n">
        <x:v>17.72</x:v>
      </x:c>
      <x:c r="E688" s="17" t="str">
        <x:v>曲线近似值</x:v>
      </x:c>
      <x:c r="F688" s="18" t="n">
        <x:v>0.2154</x:v>
      </x:c>
      <x:c r="G688" s="18" t="n">
        <x:v>818.981</x:v>
      </x:c>
      <x:c r="H688" s="18" t="n">
        <x:v>864</x:v>
      </x:c>
      <x:c r="I688" s="2" t="str">
        <x:v>历史图表；最终状态未核验</x:v>
      </x:c>
    </x:row>
    <x:row r="689" ht="24" customHeight="1">
      <x:c r="A689" s="2" t="str">
        <x:v>2026Q1</x:v>
      </x:c>
      <x:c r="B689" s="2" t="str">
        <x:v>Consumer Staples</x:v>
      </x:c>
      <x:c r="C689" s="2" t="str">
        <x:v>必需消费</x:v>
      </x:c>
      <x:c r="D689" s="16" t="n">
        <x:v>9.507</x:v>
      </x:c>
      <x:c r="E689" s="17" t="str">
        <x:v>曲线近似值</x:v>
      </x:c>
      <x:c r="F689" s="18" t="n">
        <x:v>0.0504</x:v>
      </x:c>
      <x:c r="G689" s="18" t="n">
        <x:v>818.981</x:v>
      </x:c>
      <x:c r="H689" s="18" t="n">
        <x:v>1138.307</x:v>
      </x:c>
      <x:c r="I689" s="2" t="str">
        <x:v>历史图表；最终状态未核验</x:v>
      </x:c>
    </x:row>
    <x:row r="690" ht="24" customHeight="1">
      <x:c r="A690" s="2" t="str">
        <x:v>2026Q1</x:v>
      </x:c>
      <x:c r="B690" s="2" t="str">
        <x:v>Energy</x:v>
      </x:c>
      <x:c r="C690" s="2" t="str">
        <x:v>能源</x:v>
      </x:c>
      <x:c r="D690" s="16" t="n">
        <x:v>10.124</x:v>
      </x:c>
      <x:c r="E690" s="17" t="str">
        <x:v>曲线近似值</x:v>
      </x:c>
      <x:c r="F690" s="18" t="n">
        <x:v>0.2158</x:v>
      </x:c>
      <x:c r="G690" s="18" t="n">
        <x:v>818.981</x:v>
      </x:c>
      <x:c r="H690" s="18" t="n">
        <x:v>1545.852</x:v>
      </x:c>
      <x:c r="I690" s="2" t="str">
        <x:v>历史图表；最终状态未核验</x:v>
      </x:c>
    </x:row>
    <x:row r="691" ht="24" customHeight="1">
      <x:c r="A691" s="2" t="str">
        <x:v>2026Q1</x:v>
      </x:c>
      <x:c r="B691" s="2" t="str">
        <x:v>Financials</x:v>
      </x:c>
      <x:c r="C691" s="2" t="str">
        <x:v>金融</x:v>
      </x:c>
      <x:c r="D691" s="16" t="n">
        <x:v>14.179</x:v>
      </x:c>
      <x:c r="E691" s="17" t="str">
        <x:v>曲线近似值</x:v>
      </x:c>
      <x:c r="F691" s="18" t="n">
        <x:v>0.1007</x:v>
      </x:c>
      <x:c r="G691" s="18" t="n">
        <x:v>818.981</x:v>
      </x:c>
      <x:c r="H691" s="18" t="n">
        <x:v>1773.157</x:v>
      </x:c>
      <x:c r="I691" s="2" t="str">
        <x:v>历史图表；最终状态未核验</x:v>
      </x:c>
    </x:row>
    <x:row r="692" ht="24" customHeight="1">
      <x:c r="A692" s="2" t="str">
        <x:v>2026Q1</x:v>
      </x:c>
      <x:c r="B692" s="2" t="str">
        <x:v>Health Care</x:v>
      </x:c>
      <x:c r="C692" s="2" t="str">
        <x:v>医疗保健</x:v>
      </x:c>
      <x:c r="D692" s="16" t="n">
        <x:v>22.566</x:v>
      </x:c>
      <x:c r="E692" s="17" t="str">
        <x:v>曲线近似值</x:v>
      </x:c>
      <x:c r="F692" s="18" t="n">
        <x:v>0.173</x:v>
      </x:c>
      <x:c r="G692" s="18" t="n">
        <x:v>1778.981</x:v>
      </x:c>
      <x:c r="H692" s="18" t="n">
        <x:v>167.931</x:v>
      </x:c>
      <x:c r="I692" s="2" t="str">
        <x:v>历史图表；最终状态未核验</x:v>
      </x:c>
    </x:row>
    <x:row r="693" ht="24" customHeight="1">
      <x:c r="A693" s="2" t="str">
        <x:v>2026Q1</x:v>
      </x:c>
      <x:c r="B693" s="2" t="str">
        <x:v>Industrials</x:v>
      </x:c>
      <x:c r="C693" s="2" t="str">
        <x:v>工业</x:v>
      </x:c>
      <x:c r="D693" s="16" t="n">
        <x:v>11.533</x:v>
      </x:c>
      <x:c r="E693" s="17" t="str">
        <x:v>曲线近似值</x:v>
      </x:c>
      <x:c r="F693" s="18" t="n">
        <x:v>0.1149</x:v>
      </x:c>
      <x:c r="G693" s="18" t="n">
        <x:v>1778.981</x:v>
      </x:c>
      <x:c r="H693" s="18" t="n">
        <x:v>498.751</x:v>
      </x:c>
      <x:c r="I693" s="2" t="str">
        <x:v>历史图表；最终状态未核验</x:v>
      </x:c>
    </x:row>
    <x:row r="694" ht="24" customHeight="1">
      <x:c r="A694" s="2" t="str">
        <x:v>2026Q1</x:v>
      </x:c>
      <x:c r="B694" s="2" t="str">
        <x:v>Information Technology</x:v>
      </x:c>
      <x:c r="C694" s="2" t="str">
        <x:v>信息技术</x:v>
      </x:c>
      <x:c r="D694" s="16" t="n">
        <x:v>54.993</x:v>
      </x:c>
      <x:c r="E694" s="17" t="str">
        <x:v>曲线近似值</x:v>
      </x:c>
      <x:c r="F694" s="18" t="n">
        <x:v>0.5027</x:v>
      </x:c>
      <x:c r="G694" s="18" t="n">
        <x:v>1778.981</x:v>
      </x:c>
      <x:c r="H694" s="18" t="n">
        <x:v>809.705</x:v>
      </x:c>
      <x:c r="I694" s="2" t="str">
        <x:v>历史图表；最终状态未核验</x:v>
      </x:c>
    </x:row>
    <x:row r="695" ht="24" customHeight="1">
      <x:c r="A695" s="2" t="str">
        <x:v>2026Q1</x:v>
      </x:c>
      <x:c r="B695" s="2" t="str">
        <x:v>Materials</x:v>
      </x:c>
      <x:c r="C695" s="2" t="str">
        <x:v>材料</x:v>
      </x:c>
      <x:c r="D695" s="16" t="n">
        <x:v>7.009</x:v>
      </x:c>
      <x:c r="E695" s="17" t="str">
        <x:v>曲线近似值</x:v>
      </x:c>
      <x:c r="F695" s="18" t="n">
        <x:v>0.0719</x:v>
      </x:c>
      <x:c r="G695" s="18" t="n">
        <x:v>1778.981</x:v>
      </x:c>
      <x:c r="H695" s="18" t="n">
        <x:v>1217.76</x:v>
      </x:c>
      <x:c r="I695" s="2" t="str">
        <x:v>历史图表；最终状态未核验</x:v>
      </x:c>
    </x:row>
    <x:row r="696" ht="24" customHeight="1">
      <x:c r="A696" s="2" t="str">
        <x:v>2026Q1</x:v>
      </x:c>
      <x:c r="B696" s="2" t="str">
        <x:v>Real Estate</x:v>
      </x:c>
      <x:c r="C696" s="2" t="str">
        <x:v>房地产</x:v>
      </x:c>
      <x:c r="D696" s="16" t="n">
        <x:v>3.368</x:v>
      </x:c>
      <x:c r="E696" s="17" t="str">
        <x:v>曲线近似值</x:v>
      </x:c>
      <x:c r="F696" s="18" t="n">
        <x:v>0.0115</x:v>
      </x:c>
      <x:c r="G696" s="18" t="n">
        <x:v>1778.981</x:v>
      </x:c>
      <x:c r="H696" s="18" t="n">
        <x:v>1448.344</x:v>
      </x:c>
      <x:c r="I696" s="2" t="str">
        <x:v>历史图表；最终状态未核验</x:v>
      </x:c>
    </x:row>
    <x:row r="697" ht="24" customHeight="1">
      <x:c r="A697" s="2" t="str">
        <x:v>2026Q1</x:v>
      </x:c>
      <x:c r="B697" s="2" t="str">
        <x:v>Utilities</x:v>
      </x:c>
      <x:c r="C697" s="2" t="str">
        <x:v>公用事业</x:v>
      </x:c>
      <x:c r="D697" s="16" t="n">
        <x:v>6.874</x:v>
      </x:c>
      <x:c r="E697" s="17" t="str">
        <x:v>曲线近似值</x:v>
      </x:c>
      <x:c r="F697" s="18" t="n">
        <x:v>0.036</x:v>
      </x:c>
      <x:c r="G697" s="18" t="n">
        <x:v>1778.981</x:v>
      </x:c>
      <x:c r="H697" s="18" t="n">
        <x:v>1744.016</x:v>
      </x:c>
      <x:c r="I697" s="2" t="str">
        <x:v>历史图表；最终状态未核验</x:v>
      </x:c>
    </x:row>
    <x:row r="698" ht="24" customHeight="1">
      <x:c r="A698" s="2" t="str">
        <x:v>2026Q2</x:v>
      </x:c>
      <x:c r="B698" s="2" t="str">
        <x:v>Communication Services</x:v>
      </x:c>
      <x:c r="C698" s="2" t="str">
        <x:v>通信服务</x:v>
      </x:c>
      <x:c r="D698" s="16" t="n">
        <x:v>10.22</x:v>
      </x:c>
      <x:c r="E698" s="17" t="str">
        <x:v>图中印刷值</x:v>
      </x:c>
      <x:c r="F698" s="18" t="n">
        <x:v>0.0862</x:v>
      </x:c>
      <x:c r="G698" s="18" t="n">
        <x:v>830.133</x:v>
      </x:c>
      <x:c r="H698" s="18" t="n">
        <x:v>460.923</x:v>
      </x:c>
      <x:c r="I698" s="2" t="str">
        <x:v>历史图表；最终状态未核验</x:v>
      </x:c>
    </x:row>
    <x:row r="699" ht="24" customHeight="1">
      <x:c r="A699" s="2" t="str">
        <x:v>2026Q2</x:v>
      </x:c>
      <x:c r="B699" s="2" t="str">
        <x:v>Consumer Discretionary</x:v>
      </x:c>
      <x:c r="C699" s="2" t="str">
        <x:v>可选消费</x:v>
      </x:c>
      <x:c r="D699" s="16" t="n">
        <x:v>28.98</x:v>
      </x:c>
      <x:c r="E699" s="17" t="str">
        <x:v>图中印刷值</x:v>
      </x:c>
      <x:c r="F699" s="18" t="n">
        <x:v>0.2154</x:v>
      </x:c>
      <x:c r="G699" s="18" t="n">
        <x:v>830.133</x:v>
      </x:c>
      <x:c r="H699" s="18" t="n">
        <x:v>756.409</x:v>
      </x:c>
      <x:c r="I699" s="2" t="str">
        <x:v>历史图表；最终状态未核验</x:v>
      </x:c>
    </x:row>
    <x:row r="700" ht="24" customHeight="1">
      <x:c r="A700" s="2" t="str">
        <x:v>2026Q2</x:v>
      </x:c>
      <x:c r="B700" s="2" t="str">
        <x:v>Consumer Staples</x:v>
      </x:c>
      <x:c r="C700" s="2" t="str">
        <x:v>必需消费</x:v>
      </x:c>
      <x:c r="D700" s="16" t="n">
        <x:v>10.99</x:v>
      </x:c>
      <x:c r="E700" s="17" t="str">
        <x:v>图中印刷值</x:v>
      </x:c>
      <x:c r="F700" s="18" t="n">
        <x:v>0.0504</x:v>
      </x:c>
      <x:c r="G700" s="18" t="n">
        <x:v>830.133</x:v>
      </x:c>
      <x:c r="H700" s="18" t="n">
        <x:v>1078.657</x:v>
      </x:c>
      <x:c r="I700" s="2" t="str">
        <x:v>历史图表；最终状态未核验</x:v>
      </x:c>
    </x:row>
    <x:row r="701" ht="24" customHeight="1">
      <x:c r="A701" s="2" t="str">
        <x:v>2026Q2</x:v>
      </x:c>
      <x:c r="B701" s="2" t="str">
        <x:v>Energy</x:v>
      </x:c>
      <x:c r="C701" s="2" t="str">
        <x:v>能源</x:v>
      </x:c>
      <x:c r="D701" s="16" t="n">
        <x:v>23.88</x:v>
      </x:c>
      <x:c r="E701" s="17" t="str">
        <x:v>图中印刷值</x:v>
      </x:c>
      <x:c r="F701" s="18" t="n">
        <x:v>0.2158</x:v>
      </x:c>
      <x:c r="G701" s="18" t="n">
        <x:v>830.133</x:v>
      </x:c>
      <x:c r="H701" s="18" t="n">
        <x:v>1415.591</x:v>
      </x:c>
      <x:c r="I701" s="2" t="str">
        <x:v>历史图表；最终状态未核验</x:v>
      </x:c>
    </x:row>
    <x:row r="702" ht="24" customHeight="1">
      <x:c r="A702" s="2" t="str">
        <x:v>2026Q2</x:v>
      </x:c>
      <x:c r="B702" s="2" t="str">
        <x:v>Financials</x:v>
      </x:c>
      <x:c r="C702" s="2" t="str">
        <x:v>金融</x:v>
      </x:c>
      <x:c r="D702" s="16" t="n">
        <x:v>15.76</x:v>
      </x:c>
      <x:c r="E702" s="17" t="str">
        <x:v>图中印刷值</x:v>
      </x:c>
      <x:c r="F702" s="18" t="n">
        <x:v>0.1007</x:v>
      </x:c>
      <x:c r="G702" s="18" t="n">
        <x:v>830.133</x:v>
      </x:c>
      <x:c r="H702" s="18" t="n">
        <x:v>1740.879</x:v>
      </x:c>
      <x:c r="I702" s="2" t="str">
        <x:v>历史图表；最终状态未核验</x:v>
      </x:c>
    </x:row>
    <x:row r="703" ht="24" customHeight="1">
      <x:c r="A703" s="2" t="str">
        <x:v>2026Q2</x:v>
      </x:c>
      <x:c r="B703" s="2" t="str">
        <x:v>Health Care</x:v>
      </x:c>
      <x:c r="C703" s="2" t="str">
        <x:v>医疗保健</x:v>
      </x:c>
      <x:c r="D703" s="16" t="n">
        <x:v>21.4</x:v>
      </x:c>
      <x:c r="E703" s="17" t="str">
        <x:v>图中印刷值</x:v>
      </x:c>
      <x:c r="F703" s="18" t="n">
        <x:v>0.173</x:v>
      </x:c>
      <x:c r="G703" s="18" t="n">
        <x:v>1790.133</x:v>
      </x:c>
      <x:c r="H703" s="18" t="n">
        <x:v>181.303</x:v>
      </x:c>
      <x:c r="I703" s="2" t="str">
        <x:v>历史图表；最终状态未核验</x:v>
      </x:c>
    </x:row>
    <x:row r="704" ht="24" customHeight="1">
      <x:c r="A704" s="2" t="str">
        <x:v>2026Q2</x:v>
      </x:c>
      <x:c r="B704" s="2" t="str">
        <x:v>Industrials</x:v>
      </x:c>
      <x:c r="C704" s="2" t="str">
        <x:v>工业</x:v>
      </x:c>
      <x:c r="D704" s="16" t="n">
        <x:v>13.96</x:v>
      </x:c>
      <x:c r="E704" s="17" t="str">
        <x:v>图中印刷值</x:v>
      </x:c>
      <x:c r="F704" s="18" t="n">
        <x:v>0.1149</x:v>
      </x:c>
      <x:c r="G704" s="18" t="n">
        <x:v>1790.133</x:v>
      </x:c>
      <x:c r="H704" s="18" t="n">
        <x:v>455.505</x:v>
      </x:c>
      <x:c r="I704" s="2" t="str">
        <x:v>历史图表；最终状态未核验</x:v>
      </x:c>
    </x:row>
    <x:row r="705" ht="24" customHeight="1">
      <x:c r="A705" s="2" t="str">
        <x:v>2026Q2</x:v>
      </x:c>
      <x:c r="B705" s="2" t="str">
        <x:v>Information Technology</x:v>
      </x:c>
      <x:c r="C705" s="2" t="str">
        <x:v>信息技术</x:v>
      </x:c>
      <x:c r="D705" s="16" t="n">
        <x:v>65.7</x:v>
      </x:c>
      <x:c r="E705" s="17" t="str">
        <x:v>图中印刷值</x:v>
      </x:c>
      <x:c r="F705" s="18" t="n">
        <x:v>0.5027</x:v>
      </x:c>
      <x:c r="G705" s="18" t="n">
        <x:v>1790.133</x:v>
      </x:c>
      <x:c r="H705" s="18" t="n">
        <x:v>766.225</x:v>
      </x:c>
      <x:c r="I705" s="2" t="str">
        <x:v>历史图表；最终状态未核验</x:v>
      </x:c>
    </x:row>
    <x:row r="706" ht="24" customHeight="1">
      <x:c r="A706" s="2" t="str">
        <x:v>2026Q2</x:v>
      </x:c>
      <x:c r="B706" s="2" t="str">
        <x:v>Materials</x:v>
      </x:c>
      <x:c r="C706" s="2" t="str">
        <x:v>材料</x:v>
      </x:c>
      <x:c r="D706" s="16" t="n">
        <x:v>9.54</x:v>
      </x:c>
      <x:c r="E706" s="17" t="str">
        <x:v>图中印刷值</x:v>
      </x:c>
      <x:c r="F706" s="18" t="n">
        <x:v>0.0719</x:v>
      </x:c>
      <x:c r="G706" s="18" t="n">
        <x:v>1790.133</x:v>
      </x:c>
      <x:c r="H706" s="18" t="n">
        <x:v>1146.191</x:v>
      </x:c>
      <x:c r="I706" s="2" t="str">
        <x:v>历史图表；最终状态未核验</x:v>
      </x:c>
    </x:row>
    <x:row r="707" ht="24" customHeight="1">
      <x:c r="A707" s="2" t="str">
        <x:v>2026Q2</x:v>
      </x:c>
      <x:c r="B707" s="2" t="str">
        <x:v>Real Estate</x:v>
      </x:c>
      <x:c r="C707" s="2" t="str">
        <x:v>房地产</x:v>
      </x:c>
      <x:c r="D707" s="16" t="n">
        <x:v>3.52</x:v>
      </x:c>
      <x:c r="E707" s="17" t="str">
        <x:v>图中印刷值</x:v>
      </x:c>
      <x:c r="F707" s="18" t="n">
        <x:v>0.0115</x:v>
      </x:c>
      <x:c r="G707" s="18" t="n">
        <x:v>1790.133</x:v>
      </x:c>
      <x:c r="H707" s="18" t="n">
        <x:v>1421.617</x:v>
      </x:c>
      <x:c r="I707" s="2" t="str">
        <x:v>历史图表；最终状态未核验</x:v>
      </x:c>
    </x:row>
    <x:row r="708" ht="24" customHeight="1">
      <x:c r="A708" s="2" t="str">
        <x:v>2026Q2</x:v>
      </x:c>
      <x:c r="B708" s="2" t="str">
        <x:v>Utilities</x:v>
      </x:c>
      <x:c r="C708" s="2" t="str">
        <x:v>公用事业</x:v>
      </x:c>
      <x:c r="D708" s="16" t="n">
        <x:v>5.05</x:v>
      </x:c>
      <x:c r="E708" s="17" t="str">
        <x:v>图中印刷值</x:v>
      </x:c>
      <x:c r="F708" s="18" t="n">
        <x:v>0.036</x:v>
      </x:c>
      <x:c r="G708" s="18" t="n">
        <x:v>1790.133</x:v>
      </x:c>
      <x:c r="H708" s="18" t="n">
        <x:v>1846.431</x:v>
      </x:c>
      <x:c r="I708" s="2" t="str">
        <x:v>历史图表；最终状态未核验</x:v>
      </x:c>
    </x:row>
    <x:row r="709" ht="24" customHeight="1">
      <x:c r="A709" s="2"/>
      <x:c r="B709" s="2"/>
      <x:c r="C709" s="2"/>
      <x:c r="D709" s="2"/>
      <x:c r="E709" s="2"/>
      <x:c r="F709" s="2"/>
      <x:c r="G709" s="2"/>
      <x:c r="H709" s="2"/>
      <x:c r="I709" s="2"/>
    </x:row>
    <x:row r="710" ht="24" customHeight="1">
      <x:c r="A710" s="2"/>
      <x:c r="B710" s="2"/>
      <x:c r="C710" s="2"/>
      <x:c r="D710" s="2"/>
      <x:c r="E710" s="2"/>
      <x:c r="F710" s="2"/>
      <x:c r="G710" s="2"/>
      <x:c r="H710" s="2"/>
      <x:c r="I710" s="2"/>
    </x:row>
  </x:sheetData>
  <x:pageMargins left="0.7" right="0.7" top="0.75" bottom="0.75" header="0.3" footer="0.3"/>
  <x:tableParts count="1">
    <x:tablePart xmlns:r="http://schemas.openxmlformats.org/officeDocument/2006/relationships" r:id="Rae5a5259607244de"/>
  </x:tableParts>
</x:worksheet>
</file>

<file path=xl/worksheets/sheet3.xml><?xml version="1.0" encoding="utf-8"?>
<x:worksheet xmlns:x="http://schemas.openxmlformats.org/spreadsheetml/2006/main">
  <x:sheetViews>
    <x:sheetView showGridLines="0" workbookViewId="0"/>
  </x:sheetViews>
  <x:sheetFormatPr defaultRowHeight="15"/>
  <x:cols>
    <x:col min="1" max="1" width="27" hidden="0" customWidth="1"/>
    <x:col min="2" max="2" width="15" hidden="0" customWidth="1"/>
    <x:col min="3" max="3" width="19" hidden="0" customWidth="1"/>
    <x:col min="4" max="4" width="19" hidden="0" customWidth="1"/>
    <x:col min="5" max="5" width="19" hidden="0" customWidth="1"/>
    <x:col min="6" max="6" width="19" hidden="0" customWidth="1"/>
    <x:col min="7" max="7" width="19" hidden="0" customWidth="1"/>
  </x:cols>
  <x:sheetData>
    <x:row r="1" ht="24" customHeight="1">
      <x:c r="A1" s="2"/>
      <x:c r="B1" s="2"/>
      <x:c r="C1" s="2"/>
      <x:c r="D1" s="2"/>
      <x:c r="E1" s="2"/>
      <x:c r="F1" s="2"/>
      <x:c r="G1" s="2"/>
      <x:c r="H1" s="2"/>
      <x:c r="I1" s="2"/>
      <x:c r="J1" s="2"/>
    </x:row>
    <x:row r="2" ht="24" customHeight="1">
      <x:c r="A2" s="3" t="str">
        <x:v>图表取值核对</x:v>
      </x:c>
      <x:c r="B2" s="2"/>
      <x:c r="C2" s="2"/>
      <x:c r="D2" s="2"/>
      <x:c r="E2" s="2"/>
      <x:c r="F2" s="2"/>
      <x:c r="G2" s="2"/>
      <x:c r="H2" s="2"/>
      <x:c r="I2" s="2"/>
      <x:c r="J2" s="2"/>
    </x:row>
    <x:row r="3" ht="24" customHeight="1">
      <x:c r="A3" s="4"/>
      <x:c r="B3" s="4"/>
      <x:c r="C3" s="4"/>
      <x:c r="D3" s="4"/>
      <x:c r="E3" s="4"/>
      <x:c r="F3" s="4"/>
      <x:c r="G3" s="4"/>
      <x:c r="H3" s="4"/>
      <x:c r="I3" s="4"/>
      <x:c r="J3" s="4"/>
      <x:c r="K3" s="13"/>
      <x:c r="L3" s="13"/>
    </x:row>
    <x:row r="4" ht="24" customHeight="1">
      <x:c r="A4" s="2" t="str">
        <x:v>这是同一数据商图表之间的核对，不是独立原始数据库的准确率。</x:v>
      </x:c>
      <x:c r="B4" s="2"/>
      <x:c r="C4" s="2"/>
      <x:c r="D4" s="2"/>
      <x:c r="E4" s="2"/>
      <x:c r="F4" s="2"/>
      <x:c r="G4" s="2"/>
      <x:c r="H4" s="2"/>
      <x:c r="I4" s="2"/>
      <x:c r="J4" s="2"/>
    </x:row>
    <x:row r="5" ht="24" customHeight="1">
      <x:c r="A5" s="2" t="str">
        <x:v>收入 × 利润率：2024Q1—2026Q2 共 110 项；曲线对印刷值：2026Q2 共 11 项。</x:v>
      </x:c>
      <x:c r="B5" s="2"/>
      <x:c r="C5" s="2"/>
      <x:c r="D5" s="2"/>
      <x:c r="E5" s="2"/>
      <x:c r="F5" s="2"/>
      <x:c r="G5" s="2"/>
      <x:c r="H5" s="2"/>
      <x:c r="I5" s="2"/>
      <x:c r="J5" s="2"/>
    </x:row>
    <x:row r="6" ht="24" customHeight="1">
      <x:c r="A6" s="2"/>
      <x:c r="B6" s="2"/>
      <x:c r="C6" s="2"/>
      <x:c r="D6" s="2"/>
      <x:c r="E6" s="2"/>
      <x:c r="F6" s="2"/>
      <x:c r="G6" s="2"/>
      <x:c r="H6" s="2"/>
      <x:c r="I6" s="2"/>
      <x:c r="J6" s="2"/>
    </x:row>
    <x:row r="7" ht="30" customHeight="1">
      <x:c r="A7" s="7" t="str">
        <x:v>核对对象</x:v>
      </x:c>
      <x:c r="B7" s="7" t="str">
        <x:v>项数</x:v>
      </x:c>
      <x:c r="C7" s="7" t="str">
        <x:v>平均绝对差异</x:v>
      </x:c>
      <x:c r="D7" s="7" t="str">
        <x:v>中位绝对差异</x:v>
      </x:c>
      <x:c r="E7" s="7" t="str">
        <x:v>最大绝对差异</x:v>
      </x:c>
      <x:c r="F7" s="2"/>
      <x:c r="G7" s="2"/>
      <x:c r="H7" s="2"/>
      <x:c r="I7" s="2"/>
      <x:c r="J7" s="2"/>
    </x:row>
    <x:row r="8" ht="24" customHeight="1">
      <x:c r="A8" s="2" t="str">
        <x:v>收入 × 利润率与 EPS</x:v>
      </x:c>
      <x:c r="B8" s="2" t="n">
        <x:f>COUNT(G14:G123)</x:f>
        <x:v>110</x:v>
      </x:c>
      <x:c r="C8" s="19" t="n">
        <x:f>AVERAGE(G14:G123)</x:f>
        <x:v>0.0035811123176391173</x:v>
      </x:c>
      <x:c r="D8" s="19" t="n">
        <x:f>MEDIAN(G14:G123)</x:f>
        <x:v>0.002627001637508064</x:v>
      </x:c>
      <x:c r="E8" s="19" t="n">
        <x:f>MAX(G14:G123)</x:f>
        <x:v>0.020261339440932336</x:v>
      </x:c>
      <x:c r="F8" s="2"/>
      <x:c r="G8" s="2"/>
      <x:c r="H8" s="2"/>
      <x:c r="I8" s="2"/>
      <x:c r="J8" s="2"/>
    </x:row>
    <x:row r="9" ht="24" customHeight="1">
      <x:c r="A9" s="2" t="str">
        <x:v>曲线与图中印刷值</x:v>
      </x:c>
      <x:c r="B9" s="2" t="n">
        <x:f>COUNT(E128:E138)</x:f>
        <x:v>11</x:v>
      </x:c>
      <x:c r="C9" s="19" t="n">
        <x:f>AVERAGE(E128:E138)</x:f>
        <x:v>0.004625433804922893</x:v>
      </x:c>
      <x:c r="D9" s="19" t="n">
        <x:f>MEDIAN(E128:E138)</x:f>
        <x:v>0.003603960396039607</x:v>
      </x:c>
      <x:c r="E9" s="19" t="n">
        <x:f>MAX(E128:E138)</x:f>
        <x:v>0.012596314907872719</x:v>
      </x:c>
      <x:c r="F9" s="2"/>
      <x:c r="G9" s="2"/>
      <x:c r="H9" s="2"/>
      <x:c r="I9" s="2"/>
      <x:c r="J9" s="2"/>
    </x:row>
    <x:row r="10" ht="24" customHeight="1">
      <x:c r="A10" s="2"/>
      <x:c r="B10" s="2"/>
      <x:c r="C10" s="2"/>
      <x:c r="D10" s="2"/>
      <x:c r="E10" s="2"/>
      <x:c r="F10" s="2"/>
      <x:c r="G10" s="2"/>
      <x:c r="H10" s="2"/>
      <x:c r="I10" s="2"/>
      <x:c r="J10" s="2"/>
    </x:row>
    <x:row r="11" ht="24" customHeight="1">
      <x:c r="A11" s="2" t="str">
        <x:v>收入和利润率也来自图形读取。这些差异不能作为全部历史季度的误差保证。</x:v>
      </x:c>
      <x:c r="B11" s="2"/>
      <x:c r="C11" s="2"/>
      <x:c r="D11" s="2"/>
      <x:c r="E11" s="2"/>
      <x:c r="F11" s="2"/>
      <x:c r="G11" s="2"/>
      <x:c r="H11" s="2"/>
      <x:c r="I11" s="2"/>
      <x:c r="J11" s="2"/>
    </x:row>
    <x:row r="12" ht="24" customHeight="1">
      <x:c r="A12" s="2"/>
      <x:c r="B12" s="2"/>
      <x:c r="C12" s="2"/>
      <x:c r="D12" s="2"/>
      <x:c r="E12" s="2"/>
      <x:c r="F12" s="2"/>
      <x:c r="G12" s="2"/>
      <x:c r="H12" s="2"/>
      <x:c r="I12" s="2"/>
      <x:c r="J12" s="2"/>
    </x:row>
    <x:row r="13" ht="30" customHeight="1">
      <x:c r="A13" s="7" t="str">
        <x:v>季度</x:v>
      </x:c>
      <x:c r="B13" s="7" t="str">
        <x:v>板块</x:v>
      </x:c>
      <x:c r="C13" s="7" t="str">
        <x:v>EPS 曲线值</x:v>
      </x:c>
      <x:c r="D13" s="7" t="str">
        <x:v>每股收入</x:v>
      </x:c>
      <x:c r="E13" s="7" t="str">
        <x:v>利润率</x:v>
      </x:c>
      <x:c r="F13" s="7" t="str">
        <x:v>收入 × 利润率</x:v>
      </x:c>
      <x:c r="G13" s="7" t="str">
        <x:v>绝对差异</x:v>
      </x:c>
      <x:c r="H13" s="2"/>
      <x:c r="I13" s="2"/>
      <x:c r="J13" s="2"/>
    </x:row>
    <x:row r="14" ht="24" customHeight="1">
      <x:c r="A14" s="2" t="str">
        <x:v>2024Q1</x:v>
      </x:c>
      <x:c r="B14" s="2" t="str">
        <x:v>通信服务</x:v>
      </x:c>
      <x:c r="C14" s="18" t="n">
        <x:v>3.634</x:v>
      </x:c>
      <x:c r="D14" s="18" t="n">
        <x:v>19.7911</x:v>
      </x:c>
      <x:c r="E14" s="21" t="n">
        <x:v>0.18221299999999999</x:v>
      </x:c>
      <x:c r="F14" s="15" t="n">
        <x:f>D14*E14</x:f>
        <x:v>3.6061957042999997</x:v>
      </x:c>
      <x:c r="G14" s="19" t="n">
        <x:f>ABS(F14/C14-1)</x:f>
        <x:v>0.007651154567969276</x:v>
      </x:c>
      <x:c r="H14" s="2"/>
      <x:c r="I14" s="2"/>
      <x:c r="J14" s="2"/>
    </x:row>
    <x:row r="15" ht="24" customHeight="1">
      <x:c r="A15" s="2" t="str">
        <x:v>2024Q1</x:v>
      </x:c>
      <x:c r="B15" s="2" t="str">
        <x:v>可选消费</x:v>
      </x:c>
      <x:c r="C15" s="18" t="n">
        <x:v>12.065</x:v>
      </x:c>
      <x:c r="D15" s="18" t="n">
        <x:v>147.3112</x:v>
      </x:c>
      <x:c r="E15" s="21" t="n">
        <x:v>0.081496</x:v>
      </x:c>
      <x:c r="F15" s="15" t="n">
        <x:f>D15*E15</x:f>
        <x:v>12.0052735552</x:v>
      </x:c>
      <x:c r="G15" s="19" t="n">
        <x:f>ABS(F15/C15-1)</x:f>
        <x:v>0.004950389125569776</x:v>
      </x:c>
      <x:c r="H15" s="2"/>
      <x:c r="I15" s="2"/>
      <x:c r="J15" s="2"/>
    </x:row>
    <x:row r="16" ht="24" customHeight="1">
      <x:c r="A16" s="2" t="str">
        <x:v>2024Q1</x:v>
      </x:c>
      <x:c r="B16" s="2" t="str">
        <x:v>必需消费</x:v>
      </x:c>
      <x:c r="C16" s="18" t="n">
        <x:v>9.521</x:v>
      </x:c>
      <x:c r="D16" s="18" t="n">
        <x:v>139.0496</x:v>
      </x:c>
      <x:c r="E16" s="21" t="n">
        <x:v>0.06835</x:v>
      </x:c>
      <x:c r="F16" s="15" t="n">
        <x:f>D16*E16</x:f>
        <x:v>9.504040159999999</x:v>
      </x:c>
      <x:c r="G16" s="19" t="n">
        <x:f>ABS(F16/C16-1)</x:f>
        <x:v>0.0017813086860626326</x:v>
      </x:c>
      <x:c r="H16" s="2"/>
      <x:c r="I16" s="2"/>
      <x:c r="J16" s="2"/>
    </x:row>
    <x:row r="17" ht="24" customHeight="1">
      <x:c r="A17" s="2" t="str">
        <x:v>2024Q1</x:v>
      </x:c>
      <x:c r="B17" s="2" t="str">
        <x:v>能源</x:v>
      </x:c>
      <x:c r="C17" s="18" t="n">
        <x:v>12.365</x:v>
      </x:c>
      <x:c r="D17" s="18" t="n">
        <x:v>127.3745</x:v>
      </x:c>
      <x:c r="E17" s="21" t="n">
        <x:v>0.096358</x:v>
      </x:c>
      <x:c r="F17" s="15" t="n">
        <x:f>D17*E17</x:f>
        <x:v>12.273552071</x:v>
      </x:c>
      <x:c r="G17" s="19" t="n">
        <x:f>ABS(F17/C17-1)</x:f>
        <x:v>0.0073957079660332825</x:v>
      </x:c>
      <x:c r="H17" s="2"/>
      <x:c r="I17" s="2"/>
      <x:c r="J17" s="2"/>
    </x:row>
    <x:row r="18" ht="24" customHeight="1">
      <x:c r="A18" s="2" t="str">
        <x:v>2024Q1</x:v>
      </x:c>
      <x:c r="B18" s="2" t="str">
        <x:v>金融</x:v>
      </x:c>
      <x:c r="C18" s="18" t="n">
        <x:v>11.288</x:v>
      </x:c>
      <x:c r="D18" s="18" t="n">
        <x:v>59.4287</x:v>
      </x:c>
      <x:c r="E18" s="21" t="n">
        <x:v>0.188856</x:v>
      </x:c>
      <x:c r="F18" s="15" t="n">
        <x:f>D18*E18</x:f>
        <x:v>11.2234665672</x:v>
      </x:c>
      <x:c r="G18" s="19" t="n">
        <x:f>ABS(F18/C18-1)</x:f>
        <x:v>0.005716994401134046</x:v>
      </x:c>
      <x:c r="H18" s="2"/>
      <x:c r="I18" s="2"/>
      <x:c r="J18" s="2"/>
    </x:row>
    <x:row r="19" ht="24" customHeight="1">
      <x:c r="A19" s="2" t="str">
        <x:v>2024Q1</x:v>
      </x:c>
      <x:c r="B19" s="2" t="str">
        <x:v>医疗保健</x:v>
      </x:c>
      <x:c r="C19" s="18" t="n">
        <x:v>16.103</x:v>
      </x:c>
      <x:c r="D19" s="18" t="n">
        <x:v>244.5961</x:v>
      </x:c>
      <x:c r="E19" s="21" t="n">
        <x:v>0.065465</x:v>
      </x:c>
      <x:c r="F19" s="15" t="n">
        <x:f>D19*E19</x:f>
        <x:v>16.012483686499998</x:v>
      </x:c>
      <x:c r="G19" s="19" t="n">
        <x:f>ABS(F19/C19-1)</x:f>
        <x:v>0.00562108386636051</x:v>
      </x:c>
      <x:c r="H19" s="2"/>
      <x:c r="I19" s="2"/>
      <x:c r="J19" s="2"/>
    </x:row>
    <x:row r="20" ht="24" customHeight="1">
      <x:c r="A20" s="2" t="str">
        <x:v>2024Q1</x:v>
      </x:c>
      <x:c r="B20" s="2" t="str">
        <x:v>工业</x:v>
      </x:c>
      <x:c r="C20" s="18" t="n">
        <x:v>9.557</x:v>
      </x:c>
      <x:c r="D20" s="18" t="n">
        <x:v>102.9706</x:v>
      </x:c>
      <x:c r="E20" s="21" t="n">
        <x:v>0.092688</x:v>
      </x:c>
      <x:c r="F20" s="15" t="n">
        <x:f>D20*E20</x:f>
        <x:v>9.5441389728</x:v>
      </x:c>
      <x:c r="G20" s="19" t="n">
        <x:f>ABS(F20/C20-1)</x:f>
        <x:v>0.0013457180286700066</x:v>
      </x:c>
      <x:c r="H20" s="2"/>
      <x:c r="I20" s="2"/>
      <x:c r="J20" s="2"/>
    </x:row>
    <x:row r="21" ht="24" customHeight="1">
      <x:c r="A21" s="2" t="str">
        <x:v>2024Q1</x:v>
      </x:c>
      <x:c r="B21" s="2" t="str">
        <x:v>信息技术</x:v>
      </x:c>
      <x:c r="C21" s="18" t="n">
        <x:v>30.424</x:v>
      </x:c>
      <x:c r="D21" s="18" t="n">
        <x:v>117.6752</x:v>
      </x:c>
      <x:c r="E21" s="21" t="n">
        <x:v>0.25876</x:v>
      </x:c>
      <x:c r="F21" s="15" t="n">
        <x:f>D21*E21</x:f>
        <x:v>30.449634752</x:v>
      </x:c>
      <x:c r="G21" s="19" t="n">
        <x:f>ABS(F21/C21-1)</x:f>
        <x:v>0.000842583223770843</x:v>
      </x:c>
      <x:c r="H21" s="2"/>
      <x:c r="I21" s="2"/>
      <x:c r="J21" s="2"/>
    </x:row>
    <x:row r="22" ht="24" customHeight="1">
      <x:c r="A22" s="2" t="str">
        <x:v>2024Q1</x:v>
      </x:c>
      <x:c r="B22" s="2" t="str">
        <x:v>材料</x:v>
      </x:c>
      <x:c r="C22" s="18" t="n">
        <x:v>5.74</x:v>
      </x:c>
      <x:c r="D22" s="18" t="n">
        <x:v>60.9902</x:v>
      </x:c>
      <x:c r="E22" s="21" t="n">
        <x:v>0.093399</x:v>
      </x:c>
      <x:c r="F22" s="15" t="n">
        <x:f>D22*E22</x:f>
        <x:v>5.6964236898</x:v>
      </x:c>
      <x:c r="G22" s="19" t="n">
        <x:f>ABS(F22/C22-1)</x:f>
        <x:v>0.007591691672473977</x:v>
      </x:c>
      <x:c r="H22" s="2"/>
      <x:c r="I22" s="2"/>
      <x:c r="J22" s="2"/>
    </x:row>
    <x:row r="23" ht="24" customHeight="1">
      <x:c r="A23" s="2" t="str">
        <x:v>2024Q1</x:v>
      </x:c>
      <x:c r="B23" s="2" t="str">
        <x:v>房地产</x:v>
      </x:c>
      <x:c r="C23" s="18" t="n">
        <x:v>3.002</x:v>
      </x:c>
      <x:c r="D23" s="18" t="n">
        <x:v>9.4946</x:v>
      </x:c>
      <x:c r="E23" s="21" t="n">
        <x:v>0.315453</x:v>
      </x:c>
      <x:c r="F23" s="15" t="n">
        <x:f>D23*E23</x:f>
        <x:v>2.9951000538</x:v>
      </x:c>
      <x:c r="G23" s="19" t="n">
        <x:f>ABS(F23/C23-1)</x:f>
        <x:v>0.0022984497668220305</x:v>
      </x:c>
      <x:c r="H23" s="2"/>
      <x:c r="I23" s="2"/>
      <x:c r="J23" s="2"/>
    </x:row>
    <x:row r="24" ht="24" customHeight="1">
      <x:c r="A24" s="2" t="str">
        <x:v>2024Q1</x:v>
      </x:c>
      <x:c r="B24" s="2" t="str">
        <x:v>公用事业</x:v>
      </x:c>
      <x:c r="C24" s="18" t="n">
        <x:v>5.489</x:v>
      </x:c>
      <x:c r="D24" s="18" t="n">
        <x:v>37.7062</x:v>
      </x:c>
      <x:c r="E24" s="21" t="n">
        <x:v>0.14585800000000002</x:v>
      </x:c>
      <x:c r="F24" s="15" t="n">
        <x:f>D24*E24</x:f>
        <x:v>5.499750919600001</x:v>
      </x:c>
      <x:c r="G24" s="19" t="n">
        <x:f>ABS(F24/C24-1)</x:f>
        <x:v>0.0019586299143743435</x:v>
      </x:c>
      <x:c r="H24" s="2"/>
      <x:c r="I24" s="2"/>
      <x:c r="J24" s="2"/>
    </x:row>
    <x:row r="25" ht="24" customHeight="1">
      <x:c r="A25" s="2" t="str">
        <x:v>2024Q2</x:v>
      </x:c>
      <x:c r="B25" s="2" t="str">
        <x:v>通信服务</x:v>
      </x:c>
      <x:c r="C25" s="18" t="n">
        <x:v>3.201</x:v>
      </x:c>
      <x:c r="D25" s="18" t="n">
        <x:v>20.3302</x:v>
      </x:c>
      <x:c r="E25" s="21" t="n">
        <x:v>0.156522</x:v>
      </x:c>
      <x:c r="F25" s="15" t="n">
        <x:f>D25*E25</x:f>
        <x:v>3.1821235644</x:v>
      </x:c>
      <x:c r="G25" s="19" t="n">
        <x:f>ABS(F25/C25-1)</x:f>
        <x:v>0.005897043298969118</x:v>
      </x:c>
      <x:c r="H25" s="2"/>
      <x:c r="I25" s="2"/>
      <x:c r="J25" s="2"/>
    </x:row>
    <x:row r="26" ht="24" customHeight="1">
      <x:c r="A26" s="2" t="str">
        <x:v>2024Q2</x:v>
      </x:c>
      <x:c r="B26" s="2" t="str">
        <x:v>可选消费</x:v>
      </x:c>
      <x:c r="C26" s="18" t="n">
        <x:v>15.101</x:v>
      </x:c>
      <x:c r="D26" s="18" t="n">
        <x:v>160.8433</x:v>
      </x:c>
      <x:c r="E26" s="21" t="n">
        <x:v>0.094094</x:v>
      </x:c>
      <x:c r="F26" s="15" t="n">
        <x:f>D26*E26</x:f>
        <x:v>15.134389470199999</x:v>
      </x:c>
      <x:c r="G26" s="19" t="n">
        <x:f>ABS(F26/C26-1)</x:f>
        <x:v>0.0022110767631280392</x:v>
      </x:c>
      <x:c r="H26" s="2"/>
      <x:c r="I26" s="2"/>
      <x:c r="J26" s="2"/>
    </x:row>
    <x:row r="27" ht="24" customHeight="1">
      <x:c r="A27" s="2" t="str">
        <x:v>2024Q2</x:v>
      </x:c>
      <x:c r="B27" s="2" t="str">
        <x:v>必需消费</x:v>
      </x:c>
      <x:c r="C27" s="18" t="n">
        <x:v>9.817</x:v>
      </x:c>
      <x:c r="D27" s="18" t="n">
        <x:v>139.7278</x:v>
      </x:c>
      <x:c r="E27" s="21" t="n">
        <x:v>0.070148</x:v>
      </x:c>
      <x:c r="F27" s="15" t="n">
        <x:f>D27*E27</x:f>
        <x:v>9.8016257144</x:v>
      </x:c>
      <x:c r="G27" s="19" t="n">
        <x:f>ABS(F27/C27-1)</x:f>
        <x:v>0.001566087969848251</x:v>
      </x:c>
      <x:c r="H27" s="2"/>
      <x:c r="I27" s="2"/>
      <x:c r="J27" s="2"/>
    </x:row>
    <x:row r="28" ht="24" customHeight="1">
      <x:c r="A28" s="2" t="str">
        <x:v>2024Q2</x:v>
      </x:c>
      <x:c r="B28" s="2" t="str">
        <x:v>能源</x:v>
      </x:c>
      <x:c r="C28" s="18" t="n">
        <x:v>12.389</x:v>
      </x:c>
      <x:c r="D28" s="18" t="n">
        <x:v>137.8349</x:v>
      </x:c>
      <x:c r="E28" s="21" t="n">
        <x:v>0.088484</x:v>
      </x:c>
      <x:c r="F28" s="15" t="n">
        <x:f>D28*E28</x:f>
        <x:v>12.196183291599999</x:v>
      </x:c>
      <x:c r="G28" s="19" t="n">
        <x:f>ABS(F28/C28-1)</x:f>
        <x:v>0.015563540915328189</x:v>
      </x:c>
      <x:c r="H28" s="2"/>
      <x:c r="I28" s="2"/>
      <x:c r="J28" s="2"/>
    </x:row>
    <x:row r="29" ht="24" customHeight="1">
      <x:c r="A29" s="2" t="str">
        <x:v>2024Q2</x:v>
      </x:c>
      <x:c r="B29" s="2" t="str">
        <x:v>金融</x:v>
      </x:c>
      <x:c r="C29" s="18" t="n">
        <x:v>11.684</x:v>
      </x:c>
      <x:c r="D29" s="18" t="n">
        <x:v>59.2279</x:v>
      </x:c>
      <x:c r="E29" s="21" t="n">
        <x:v>0.19595700000000002</x:v>
      </x:c>
      <x:c r="F29" s="15" t="n">
        <x:f>D29*E29</x:f>
        <x:v>11.606121600300002</x:v>
      </x:c>
      <x:c r="G29" s="19" t="n">
        <x:f>ABS(F29/C29-1)</x:f>
        <x:v>0.00666538853988341</x:v>
      </x:c>
      <x:c r="H29" s="2"/>
      <x:c r="I29" s="2"/>
      <x:c r="J29" s="2"/>
    </x:row>
    <x:row r="30" ht="24" customHeight="1">
      <x:c r="A30" s="2" t="str">
        <x:v>2024Q2</x:v>
      </x:c>
      <x:c r="B30" s="2" t="str">
        <x:v>医疗保健</x:v>
      </x:c>
      <x:c r="C30" s="18" t="n">
        <x:v>21.07</x:v>
      </x:c>
      <x:c r="D30" s="18" t="n">
        <x:v>253.4875</x:v>
      </x:c>
      <x:c r="E30" s="21" t="n">
        <x:v>0.083074</x:v>
      </x:c>
      <x:c r="F30" s="15" t="n">
        <x:f>D30*E30</x:f>
        <x:v>21.058220575</x:v>
      </x:c>
      <x:c r="G30" s="19" t="n">
        <x:f>ABS(F30/C30-1)</x:f>
        <x:v>0.0005590614617940748</x:v>
      </x:c>
      <x:c r="H30" s="2"/>
      <x:c r="I30" s="2"/>
      <x:c r="J30" s="2"/>
    </x:row>
    <x:row r="31" ht="24" customHeight="1">
      <x:c r="A31" s="2" t="str">
        <x:v>2024Q2</x:v>
      </x:c>
      <x:c r="B31" s="2" t="str">
        <x:v>工业</x:v>
      </x:c>
      <x:c r="C31" s="18" t="n">
        <x:v>11.943</x:v>
      </x:c>
      <x:c r="D31" s="18" t="n">
        <x:v>111.0012</x:v>
      </x:c>
      <x:c r="E31" s="21" t="n">
        <x:v>0.107628</x:v>
      </x:c>
      <x:c r="F31" s="15" t="n">
        <x:f>D31*E31</x:f>
        <x:v>11.9468371536</x:v>
      </x:c>
      <x:c r="G31" s="19" t="n">
        <x:f>ABS(F31/C31-1)</x:f>
        <x:v>0.00032128892238136864</x:v>
      </x:c>
      <x:c r="H31" s="2"/>
      <x:c r="I31" s="2"/>
      <x:c r="J31" s="2"/>
    </x:row>
    <x:row r="32" ht="24" customHeight="1">
      <x:c r="A32" s="2" t="str">
        <x:v>2024Q2</x:v>
      </x:c>
      <x:c r="B32" s="2" t="str">
        <x:v>信息技术</x:v>
      </x:c>
      <x:c r="C32" s="18" t="n">
        <x:v>31.04</x:v>
      </x:c>
      <x:c r="D32" s="18" t="n">
        <x:v>120.3869</x:v>
      </x:c>
      <x:c r="E32" s="21" t="n">
        <x:v>0.25876</x:v>
      </x:c>
      <x:c r="F32" s="15" t="n">
        <x:f>D32*E32</x:f>
        <x:v>31.151314243999998</x:v>
      </x:c>
      <x:c r="G32" s="19" t="n">
        <x:f>ABS(F32/C32-1)</x:f>
        <x:v>0.0035861547680411388</x:v>
      </x:c>
      <x:c r="H32" s="2"/>
      <x:c r="I32" s="2"/>
      <x:c r="J32" s="2"/>
    </x:row>
    <x:row r="33" ht="24" customHeight="1">
      <x:c r="A33" s="2" t="str">
        <x:v>2024Q2</x:v>
      </x:c>
      <x:c r="B33" s="2" t="str">
        <x:v>材料</x:v>
      </x:c>
      <x:c r="C33" s="18" t="n">
        <x:v>7.219</x:v>
      </x:c>
      <x:c r="D33" s="18" t="n">
        <x:v>62.6786</x:v>
      </x:c>
      <x:c r="E33" s="21" t="n">
        <x:v>0.11498</x:v>
      </x:c>
      <x:c r="F33" s="15" t="n">
        <x:f>D33*E33</x:f>
        <x:v>7.206785428</x:v>
      </x:c>
      <x:c r="G33" s="19" t="n">
        <x:f>ABS(F33/C33-1)</x:f>
        <x:v>0.0016920033245602095</x:v>
      </x:c>
      <x:c r="H33" s="2"/>
      <x:c r="I33" s="2"/>
      <x:c r="J33" s="2"/>
    </x:row>
    <x:row r="34" ht="24" customHeight="1">
      <x:c r="A34" s="2" t="str">
        <x:v>2024Q2</x:v>
      </x:c>
      <x:c r="B34" s="2" t="str">
        <x:v>房地产</x:v>
      </x:c>
      <x:c r="C34" s="18" t="n">
        <x:v>2.977</x:v>
      </x:c>
      <x:c r="D34" s="18" t="n">
        <x:v>9.7012</x:v>
      </x:c>
      <x:c r="E34" s="21" t="n">
        <x:v>0.30659400000000003</x:v>
      </x:c>
      <x:c r="F34" s="15" t="n">
        <x:f>D34*E34</x:f>
        <x:v>2.9743297128000004</x:v>
      </x:c>
      <x:c r="G34" s="19" t="n">
        <x:f>ABS(F34/C34-1)</x:f>
        <x:v>0.0008969725226736225</x:v>
      </x:c>
      <x:c r="H34" s="2"/>
      <x:c r="I34" s="2"/>
      <x:c r="J34" s="2"/>
    </x:row>
    <x:row r="35" ht="24" customHeight="1">
      <x:c r="A35" s="2" t="str">
        <x:v>2024Q2</x:v>
      </x:c>
      <x:c r="B35" s="2" t="str">
        <x:v>公用事业</x:v>
      </x:c>
      <x:c r="C35" s="18" t="n">
        <x:v>4.653</x:v>
      </x:c>
      <x:c r="D35" s="18" t="n">
        <x:v>33.1681</x:v>
      </x:c>
      <x:c r="E35" s="21" t="n">
        <x:v>0.13994099999999998</x:v>
      </x:c>
      <x:c r="F35" s="15" t="n">
        <x:f>D35*E35</x:f>
        <x:v>4.6415770820999995</x:v>
      </x:c>
      <x:c r="G35" s="19" t="n">
        <x:f>ABS(F35/C35-1)</x:f>
        <x:v>0.0024549576402320694</x:v>
      </x:c>
      <x:c r="H35" s="2"/>
      <x:c r="I35" s="2"/>
      <x:c r="J35" s="2"/>
    </x:row>
    <x:row r="36" ht="24" customHeight="1">
      <x:c r="A36" s="2" t="str">
        <x:v>2024Q3</x:v>
      </x:c>
      <x:c r="B36" s="2" t="str">
        <x:v>通信服务</x:v>
      </x:c>
      <x:c r="C36" s="18" t="n">
        <x:v>4.253</x:v>
      </x:c>
      <x:c r="D36" s="18" t="n">
        <x:v>21.3229</x:v>
      </x:c>
      <x:c r="E36" s="21" t="n">
        <x:v>0.2</x:v>
      </x:c>
      <x:c r="F36" s="15" t="n">
        <x:f>D36*E36</x:f>
        <x:v>4.2645800000000005</x:v>
      </x:c>
      <x:c r="G36" s="19" t="n">
        <x:f>ABS(F36/C36-1)</x:f>
        <x:v>0.0027227839172350166</x:v>
      </x:c>
      <x:c r="H36" s="2"/>
      <x:c r="I36" s="2"/>
      <x:c r="J36" s="2"/>
    </x:row>
    <x:row r="37" ht="24" customHeight="1">
      <x:c r="A37" s="2" t="str">
        <x:v>2024Q3</x:v>
      </x:c>
      <x:c r="B37" s="2" t="str">
        <x:v>可选消费</x:v>
      </x:c>
      <x:c r="C37" s="18" t="n">
        <x:v>16.536</x:v>
      </x:c>
      <x:c r="D37" s="18" t="n">
        <x:v>163.4081</x:v>
      </x:c>
      <x:c r="E37" s="21" t="n">
        <x:v>0.10039400000000001</x:v>
      </x:c>
      <x:c r="F37" s="15" t="n">
        <x:f>D37*E37</x:f>
        <x:v>16.4051927914</x:v>
      </x:c>
      <x:c r="G37" s="19" t="n">
        <x:f>ABS(F37/C37-1)</x:f>
        <x:v>0.007910450447508488</x:v>
      </x:c>
      <x:c r="H37" s="2"/>
      <x:c r="I37" s="2"/>
      <x:c r="J37" s="2"/>
    </x:row>
    <x:row r="38" ht="24" customHeight="1">
      <x:c r="A38" s="2" t="str">
        <x:v>2024Q3</x:v>
      </x:c>
      <x:c r="B38" s="2" t="str">
        <x:v>必需消费</x:v>
      </x:c>
      <x:c r="C38" s="18" t="n">
        <x:v>10.309</x:v>
      </x:c>
      <x:c r="D38" s="18" t="n">
        <x:v>147.5853</x:v>
      </x:c>
      <x:c r="E38" s="21" t="n">
        <x:v>0.06987199999999999</x:v>
      </x:c>
      <x:c r="F38" s="15" t="n">
        <x:f>D38*E38</x:f>
        <x:v>10.312080081599998</x:v>
      </x:c>
      <x:c r="G38" s="19" t="n">
        <x:f>ABS(F38/C38-1)</x:f>
        <x:v>0.0002987759821513336</x:v>
      </x:c>
      <x:c r="H38" s="2"/>
      <x:c r="I38" s="2"/>
      <x:c r="J38" s="2"/>
    </x:row>
    <x:row r="39" ht="24" customHeight="1">
      <x:c r="A39" s="2" t="str">
        <x:v>2024Q3</x:v>
      </x:c>
      <x:c r="B39" s="2" t="str">
        <x:v>能源</x:v>
      </x:c>
      <x:c r="C39" s="18" t="n">
        <x:v>10.956</x:v>
      </x:c>
      <x:c r="D39" s="18" t="n">
        <x:v>132.5609</x:v>
      </x:c>
      <x:c r="E39" s="21" t="n">
        <x:v>0.082579</x:v>
      </x:c>
      <x:c r="F39" s="15" t="n">
        <x:f>D39*E39</x:f>
        <x:v>10.9467465611</x:v>
      </x:c>
      <x:c r="G39" s="19" t="n">
        <x:f>ABS(F39/C39-1)</x:f>
        <x:v>0.0008446001186565022</x:v>
      </x:c>
      <x:c r="H39" s="2"/>
      <x:c r="I39" s="2"/>
      <x:c r="J39" s="2"/>
    </x:row>
    <x:row r="40" ht="24" customHeight="1">
      <x:c r="A40" s="2" t="str">
        <x:v>2024Q3</x:v>
      </x:c>
      <x:c r="B40" s="2" t="str">
        <x:v>金融</x:v>
      </x:c>
      <x:c r="C40" s="18" t="n">
        <x:v>11.222</x:v>
      </x:c>
      <x:c r="D40" s="18" t="n">
        <x:v>59.2165</x:v>
      </x:c>
      <x:c r="E40" s="21" t="n">
        <x:v>0.188856</x:v>
      </x:c>
      <x:c r="F40" s="15" t="n">
        <x:f>D40*E40</x:f>
        <x:v>11.183391324</x:v>
      </x:c>
      <x:c r="G40" s="19" t="n">
        <x:f>ABS(F40/C40-1)</x:f>
        <x:v>0.0034404451969345384</x:v>
      </x:c>
      <x:c r="H40" s="2"/>
      <x:c r="I40" s="2"/>
      <x:c r="J40" s="2"/>
    </x:row>
    <x:row r="41" ht="24" customHeight="1">
      <x:c r="A41" s="2" t="str">
        <x:v>2024Q3</x:v>
      </x:c>
      <x:c r="B41" s="2" t="str">
        <x:v>医疗保健</x:v>
      </x:c>
      <x:c r="C41" s="18" t="n">
        <x:v>22.012</x:v>
      </x:c>
      <x:c r="D41" s="18" t="n">
        <x:v>265.8181</x:v>
      </x:c>
      <x:c r="E41" s="21" t="n">
        <x:v>0.08246700000000001</x:v>
      </x:c>
      <x:c r="F41" s="15" t="n">
        <x:f>D41*E41</x:f>
        <x:v>21.921221252700004</x:v>
      </x:c>
      <x:c r="G41" s="19" t="n">
        <x:f>ABS(F41/C41-1)</x:f>
        <x:v>0.004124057209703658</x:v>
      </x:c>
      <x:c r="H41" s="2"/>
      <x:c r="I41" s="2"/>
      <x:c r="J41" s="2"/>
    </x:row>
    <x:row r="42" ht="24" customHeight="1">
      <x:c r="A42" s="2" t="str">
        <x:v>2024Q3</x:v>
      </x:c>
      <x:c r="B42" s="2" t="str">
        <x:v>工业</x:v>
      </x:c>
      <x:c r="C42" s="18" t="n">
        <x:v>10.313</x:v>
      </x:c>
      <x:c r="D42" s="18" t="n">
        <x:v>106.4005</x:v>
      </x:c>
      <x:c r="E42" s="21" t="n">
        <x:v>0.09656100000000001</x:v>
      </x:c>
      <x:c r="F42" s="15" t="n">
        <x:f>D42*E42</x:f>
        <x:v>10.2741386805</x:v>
      </x:c>
      <x:c r="G42" s="19" t="n">
        <x:f>ABS(F42/C42-1)</x:f>
        <x:v>0.0037681876757491573</x:v>
      </x:c>
      <x:c r="H42" s="2"/>
      <x:c r="I42" s="2"/>
      <x:c r="J42" s="2"/>
    </x:row>
    <x:row r="43" ht="24" customHeight="1">
      <x:c r="A43" s="2" t="str">
        <x:v>2024Q3</x:v>
      </x:c>
      <x:c r="B43" s="2" t="str">
        <x:v>信息技术</x:v>
      </x:c>
      <x:c r="C43" s="18" t="n">
        <x:v>33.655</x:v>
      </x:c>
      <x:c r="D43" s="18" t="n">
        <x:v>129.4994</x:v>
      </x:c>
      <x:c r="E43" s="21" t="n">
        <x:v>0.25876</x:v>
      </x:c>
      <x:c r="F43" s="15" t="n">
        <x:f>D43*E43</x:f>
        <x:v>33.509264744</x:v>
      </x:c>
      <x:c r="G43" s="19" t="n">
        <x:f>ABS(F43/C43-1)</x:f>
        <x:v>0.0043302705690091425</x:v>
      </x:c>
      <x:c r="H43" s="2"/>
      <x:c r="I43" s="2"/>
      <x:c r="J43" s="2"/>
    </x:row>
    <x:row r="44" ht="24" customHeight="1">
      <x:c r="A44" s="2" t="str">
        <x:v>2024Q3</x:v>
      </x:c>
      <x:c r="B44" s="2" t="str">
        <x:v>材料</x:v>
      </x:c>
      <x:c r="C44" s="18" t="n">
        <x:v>5.737</x:v>
      </x:c>
      <x:c r="D44" s="18" t="n">
        <x:v>59.9038</x:v>
      </x:c>
      <x:c r="E44" s="21" t="n">
        <x:v>0.09561299999999999</x:v>
      </x:c>
      <x:c r="F44" s="15" t="n">
        <x:f>D44*E44</x:f>
        <x:v>5.727582029399999</x:v>
      </x:c>
      <x:c r="G44" s="19" t="n">
        <x:f>ABS(F44/C44-1)</x:f>
        <x:v>0.0016416194178143773</x:v>
      </x:c>
      <x:c r="H44" s="2"/>
      <x:c r="I44" s="2"/>
      <x:c r="J44" s="2"/>
    </x:row>
    <x:row r="45" ht="24" customHeight="1">
      <x:c r="A45" s="2" t="str">
        <x:v>2024Q3</x:v>
      </x:c>
      <x:c r="B45" s="2" t="str">
        <x:v>房地产</x:v>
      </x:c>
      <x:c r="C45" s="18" t="n">
        <x:v>2.603</x:v>
      </x:c>
      <x:c r="D45" s="18" t="n">
        <x:v>9.8238</x:v>
      </x:c>
      <x:c r="E45" s="21" t="n">
        <x:v>0.264075</x:v>
      </x:c>
      <x:c r="F45" s="15" t="n">
        <x:f>D45*E45</x:f>
        <x:v>2.594219985</x:v>
      </x:c>
      <x:c r="G45" s="19" t="n">
        <x:f>ABS(F45/C45-1)</x:f>
        <x:v>0.003373036880522484</x:v>
      </x:c>
      <x:c r="H45" s="2"/>
      <x:c r="I45" s="2"/>
      <x:c r="J45" s="2"/>
    </x:row>
    <x:row r="46" ht="24" customHeight="1">
      <x:c r="A46" s="2" t="str">
        <x:v>2024Q3</x:v>
      </x:c>
      <x:c r="B46" s="2" t="str">
        <x:v>公用事业</x:v>
      </x:c>
      <x:c r="C46" s="18" t="n">
        <x:v>6.602</x:v>
      </x:c>
      <x:c r="D46" s="18" t="n">
        <x:v>38.1813</x:v>
      </x:c>
      <x:c r="E46" s="21" t="n">
        <x:v>0.17366900000000002</x:v>
      </x:c>
      <x:c r="F46" s="15" t="n">
        <x:f>D46*E46</x:f>
        <x:v>6.6309081897</x:v>
      </x:c>
      <x:c r="G46" s="19" t="n">
        <x:f>ABS(F46/C46-1)</x:f>
        <x:v>0.004378701863071877</x:v>
      </x:c>
      <x:c r="H46" s="2"/>
      <x:c r="I46" s="2"/>
      <x:c r="J46" s="2"/>
    </x:row>
    <x:row r="47" ht="24" customHeight="1">
      <x:c r="A47" s="2" t="str">
        <x:v>2024Q4</x:v>
      </x:c>
      <x:c r="B47" s="2" t="str">
        <x:v>通信服务</x:v>
      </x:c>
      <x:c r="C47" s="18" t="n">
        <x:v>4.485</x:v>
      </x:c>
      <x:c r="D47" s="18" t="n">
        <x:v>23.0034</x:v>
      </x:c>
      <x:c r="E47" s="21" t="n">
        <x:v>0.196047</x:v>
      </x:c>
      <x:c r="F47" s="15" t="n">
        <x:f>D47*E47</x:f>
        <x:v>4.5097475598</x:v>
      </x:c>
      <x:c r="G47" s="19" t="n">
        <x:f>ABS(F47/C47-1)</x:f>
        <x:v>0.0055178505685617996</x:v>
      </x:c>
      <x:c r="H47" s="2"/>
      <x:c r="I47" s="2"/>
      <x:c r="J47" s="2"/>
    </x:row>
    <x:row r="48" ht="24" customHeight="1">
      <x:c r="A48" s="2" t="str">
        <x:v>2024Q4</x:v>
      </x:c>
      <x:c r="B48" s="2" t="str">
        <x:v>可选消费</x:v>
      </x:c>
      <x:c r="C48" s="18" t="n">
        <x:v>15.544</x:v>
      </x:c>
      <x:c r="D48" s="18" t="n">
        <x:v>172.1215</x:v>
      </x:c>
      <x:c r="E48" s="21" t="n">
        <x:v>0.090157</x:v>
      </x:c>
      <x:c r="F48" s="15" t="n">
        <x:f>D48*E48</x:f>
        <x:v>15.5179580755</x:v>
      </x:c>
      <x:c r="G48" s="19" t="n">
        <x:f>ABS(F48/C48-1)</x:f>
        <x:v>0.0016753682771488698</x:v>
      </x:c>
      <x:c r="H48" s="2"/>
      <x:c r="I48" s="2"/>
      <x:c r="J48" s="2"/>
    </x:row>
    <x:row r="49" ht="24" customHeight="1">
      <x:c r="A49" s="2" t="str">
        <x:v>2024Q4</x:v>
      </x:c>
      <x:c r="B49" s="2" t="str">
        <x:v>必需消费</x:v>
      </x:c>
      <x:c r="C49" s="18" t="n">
        <x:v>9.681</x:v>
      </x:c>
      <x:c r="D49" s="18" t="n">
        <x:v>148.3615</x:v>
      </x:c>
      <x:c r="E49" s="21" t="n">
        <x:v>0.065168</x:v>
      </x:c>
      <x:c r="F49" s="15" t="n">
        <x:f>D49*E49</x:f>
        <x:v>9.668422232000001</x:v>
      </x:c>
      <x:c r="G49" s="19" t="n">
        <x:f>ABS(F49/C49-1)</x:f>
        <x:v>0.0012992219812001382</x:v>
      </x:c>
      <x:c r="H49" s="2"/>
      <x:c r="I49" s="2"/>
      <x:c r="J49" s="2"/>
    </x:row>
    <x:row r="50" ht="24" customHeight="1">
      <x:c r="A50" s="2" t="str">
        <x:v>2024Q4</x:v>
      </x:c>
      <x:c r="B50" s="2" t="str">
        <x:v>能源</x:v>
      </x:c>
      <x:c r="C50" s="18" t="n">
        <x:v>9.845</x:v>
      </x:c>
      <x:c r="D50" s="18" t="n">
        <x:v>128.925</x:v>
      </x:c>
      <x:c r="E50" s="21" t="n">
        <x:v>0.076673</x:v>
      </x:c>
      <x:c r="F50" s="15" t="n">
        <x:f>D50*E50</x:f>
        <x:v>9.885066525000001</x:v>
      </x:c>
      <x:c r="G50" s="19" t="n">
        <x:f>ABS(F50/C50-1)</x:f>
        <x:v>0.004069733367191519</x:v>
      </x:c>
      <x:c r="H50" s="2"/>
      <x:c r="I50" s="2"/>
      <x:c r="J50" s="2"/>
    </x:row>
    <x:row r="51" ht="24" customHeight="1">
      <x:c r="A51" s="2" t="str">
        <x:v>2024Q4</x:v>
      </x:c>
      <x:c r="B51" s="2" t="str">
        <x:v>金融</x:v>
      </x:c>
      <x:c r="C51" s="18" t="n">
        <x:v>12.336</x:v>
      </x:c>
      <x:c r="D51" s="18" t="n">
        <x:v>59.451</x:v>
      </x:c>
      <x:c r="E51" s="21" t="n">
        <x:v>0.206213</x:v>
      </x:c>
      <x:c r="F51" s="15" t="n">
        <x:f>D51*E51</x:f>
        <x:v>12.259569063</x:v>
      </x:c>
      <x:c r="G51" s="19" t="n">
        <x:f>ABS(F51/C51-1)</x:f>
        <x:v>0.0061957633754863295</x:v>
      </x:c>
      <x:c r="H51" s="2"/>
      <x:c r="I51" s="2"/>
      <x:c r="J51" s="2"/>
    </x:row>
    <x:row r="52" ht="24" customHeight="1">
      <x:c r="A52" s="2" t="str">
        <x:v>2024Q4</x:v>
      </x:c>
      <x:c r="B52" s="2" t="str">
        <x:v>医疗保健</x:v>
      </x:c>
      <x:c r="C52" s="18" t="n">
        <x:v>20.781</x:v>
      </x:c>
      <x:c r="D52" s="18" t="n">
        <x:v>272.6395</x:v>
      </x:c>
      <x:c r="E52" s="21" t="n">
        <x:v>0.07609099999999999</x:v>
      </x:c>
      <x:c r="F52" s="15" t="n">
        <x:f>D52*E52</x:f>
        <x:v>20.7454121945</x:v>
      </x:c>
      <x:c r="G52" s="19" t="n">
        <x:f>ABS(F52/C52-1)</x:f>
        <x:v>0.0017125165054617808</x:v>
      </x:c>
      <x:c r="H52" s="2"/>
      <x:c r="I52" s="2"/>
      <x:c r="J52" s="2"/>
    </x:row>
    <x:row r="53" ht="24" customHeight="1">
      <x:c r="A53" s="2" t="str">
        <x:v>2024Q4</x:v>
      </x:c>
      <x:c r="B53" s="2" t="str">
        <x:v>工业</x:v>
      </x:c>
      <x:c r="C53" s="18" t="n">
        <x:v>12.089</x:v>
      </x:c>
      <x:c r="D53" s="18" t="n">
        <x:v>106.2394</x:v>
      </x:c>
      <x:c r="E53" s="21" t="n">
        <x:v>0.114269</x:v>
      </x:c>
      <x:c r="F53" s="15" t="n">
        <x:f>D53*E53</x:f>
        <x:v>12.1398699986</x:v>
      </x:c>
      <x:c r="G53" s="19" t="n">
        <x:f>ABS(F53/C53-1)</x:f>
        <x:v>0.004207957531640272</x:v>
      </x:c>
      <x:c r="H53" s="2"/>
      <x:c r="I53" s="2"/>
      <x:c r="J53" s="2"/>
    </x:row>
    <x:row r="54" ht="24" customHeight="1">
      <x:c r="A54" s="2" t="str">
        <x:v>2024Q4</x:v>
      </x:c>
      <x:c r="B54" s="2" t="str">
        <x:v>信息技术</x:v>
      </x:c>
      <x:c r="C54" s="18" t="n">
        <x:v>39.915</x:v>
      </x:c>
      <x:c r="D54" s="18" t="n">
        <x:v>144.6915</x:v>
      </x:c>
      <x:c r="E54" s="21" t="n">
        <x:v>0.275492</x:v>
      </x:c>
      <x:c r="F54" s="15" t="n">
        <x:f>D54*E54</x:f>
        <x:v>39.861350718</x:v>
      </x:c>
      <x:c r="G54" s="19" t="n">
        <x:f>ABS(F54/C54-1)</x:f>
        <x:v>0.0013440882375047591</x:v>
      </x:c>
      <x:c r="H54" s="2"/>
      <x:c r="I54" s="2"/>
      <x:c r="J54" s="2"/>
    </x:row>
    <x:row r="55" ht="24" customHeight="1">
      <x:c r="A55" s="2" t="str">
        <x:v>2024Q4</x:v>
      </x:c>
      <x:c r="B55" s="2" t="str">
        <x:v>材料</x:v>
      </x:c>
      <x:c r="C55" s="18" t="n">
        <x:v>5.254</x:v>
      </x:c>
      <x:c r="D55" s="18" t="n">
        <x:v>58.0172</x:v>
      </x:c>
      <x:c r="E55" s="21" t="n">
        <x:v>0.090632</x:v>
      </x:c>
      <x:c r="F55" s="15" t="n">
        <x:f>D55*E55</x:f>
        <x:v>5.258214870400001</x:v>
      </x:c>
      <x:c r="G55" s="19" t="n">
        <x:f>ABS(F55/C55-1)</x:f>
        <x:v>0.000802221240959522</x:v>
      </x:c>
      <x:c r="H55" s="2"/>
      <x:c r="I55" s="2"/>
      <x:c r="J55" s="2"/>
    </x:row>
    <x:row r="56" ht="24" customHeight="1">
      <x:c r="A56" s="2" t="str">
        <x:v>2024Q4</x:v>
      </x:c>
      <x:c r="B56" s="2" t="str">
        <x:v>房地产</x:v>
      </x:c>
      <x:c r="C56" s="18" t="n">
        <x:v>3.241</x:v>
      </x:c>
      <x:c r="D56" s="18" t="n">
        <x:v>10.2928</x:v>
      </x:c>
      <x:c r="E56" s="21" t="n">
        <x:v>0.315453</x:v>
      </x:c>
      <x:c r="F56" s="15" t="n">
        <x:f>D56*E56</x:f>
        <x:v>3.2468946383999997</x:v>
      </x:c>
      <x:c r="G56" s="19" t="n">
        <x:f>ABS(F56/C56-1)</x:f>
        <x:v>0.0018187714902806462</x:v>
      </x:c>
      <x:c r="H56" s="2"/>
      <x:c r="I56" s="2"/>
      <x:c r="J56" s="2"/>
    </x:row>
    <x:row r="57" ht="24" customHeight="1">
      <x:c r="A57" s="2" t="str">
        <x:v>2024Q4</x:v>
      </x:c>
      <x:c r="B57" s="2" t="str">
        <x:v>公用事业</x:v>
      </x:c>
      <x:c r="C57" s="18" t="n">
        <x:v>4.547</x:v>
      </x:c>
      <x:c r="D57" s="18" t="n">
        <x:v>34.8287</x:v>
      </x:c>
      <x:c r="E57" s="21" t="n">
        <x:v>0.129882</x:v>
      </x:c>
      <x:c r="F57" s="15" t="n">
        <x:f>D57*E57</x:f>
        <x:v>4.523621213399999</x:v>
      </x:c>
      <x:c r="G57" s="19" t="n">
        <x:f>ABS(F57/C57-1)</x:f>
        <x:v>0.00514158491312966</x:v>
      </x:c>
      <x:c r="H57" s="2"/>
      <x:c r="I57" s="2"/>
      <x:c r="J57" s="2"/>
    </x:row>
    <x:row r="58" ht="24" customHeight="1">
      <x:c r="A58" s="2" t="str">
        <x:v>2025Q1</x:v>
      </x:c>
      <x:c r="B58" s="2" t="str">
        <x:v>通信服务</x:v>
      </x:c>
      <x:c r="C58" s="18" t="n">
        <x:v>4.762</x:v>
      </x:c>
      <x:c r="D58" s="18" t="n">
        <x:v>21.3686</x:v>
      </x:c>
      <x:c r="E58" s="21" t="n">
        <x:v>0.221739</x:v>
      </x:c>
      <x:c r="F58" s="15" t="n">
        <x:f>D58*E58</x:f>
        <x:v>4.7382519954</x:v>
      </x:c>
      <x:c r="G58" s="19" t="n">
        <x:f>ABS(F58/C58-1)</x:f>
        <x:v>0.00498698122637542</x:v>
      </x:c>
      <x:c r="H58" s="2"/>
      <x:c r="I58" s="2"/>
      <x:c r="J58" s="2"/>
    </x:row>
    <x:row r="59" ht="24" customHeight="1">
      <x:c r="A59" s="2" t="str">
        <x:v>2025Q1</x:v>
      </x:c>
      <x:c r="B59" s="2" t="str">
        <x:v>可选消费</x:v>
      </x:c>
      <x:c r="C59" s="18" t="n">
        <x:v>12.748</x:v>
      </x:c>
      <x:c r="D59" s="18" t="n">
        <x:v>149.027</x:v>
      </x:c>
      <x:c r="E59" s="21" t="n">
        <x:v>0.08622</x:v>
      </x:c>
      <x:c r="F59" s="15" t="n">
        <x:f>D59*E59</x:f>
        <x:v>12.84910794</x:v>
      </x:c>
      <x:c r="G59" s="19" t="n">
        <x:f>ABS(F59/C59-1)</x:f>
        <x:v>0.007931278631942318</x:v>
      </x:c>
      <x:c r="H59" s="2"/>
      <x:c r="I59" s="2"/>
      <x:c r="J59" s="2"/>
    </x:row>
    <x:row r="60" ht="24" customHeight="1">
      <x:c r="A60" s="2" t="str">
        <x:v>2025Q1</x:v>
      </x:c>
      <x:c r="B60" s="2" t="str">
        <x:v>必需消费</x:v>
      </x:c>
      <x:c r="C60" s="18" t="n">
        <x:v>8.972</x:v>
      </x:c>
      <x:c r="D60" s="18" t="n">
        <x:v>140.2002</x:v>
      </x:c>
      <x:c r="E60" s="21" t="n">
        <x:v>0.064061</x:v>
      </x:c>
      <x:c r="F60" s="15" t="n">
        <x:f>D60*E60</x:f>
        <x:v>8.981365012200001</x:v>
      </x:c>
      <x:c r="G60" s="19" t="n">
        <x:f>ABS(F60/C60-1)</x:f>
        <x:v>0.0010438043022740207</x:v>
      </x:c>
      <x:c r="H60" s="2"/>
      <x:c r="I60" s="2"/>
      <x:c r="J60" s="2"/>
    </x:row>
    <x:row r="61" ht="24" customHeight="1">
      <x:c r="A61" s="2" t="str">
        <x:v>2025Q1</x:v>
      </x:c>
      <x:c r="B61" s="2" t="str">
        <x:v>能源</x:v>
      </x:c>
      <x:c r="C61" s="18" t="n">
        <x:v>9.988</x:v>
      </x:c>
      <x:c r="D61" s="18" t="n">
        <x:v>126.0212</x:v>
      </x:c>
      <x:c r="E61" s="21" t="n">
        <x:v>0.078642</x:v>
      </x:c>
      <x:c r="F61" s="15" t="n">
        <x:f>D61*E61</x:f>
        <x:v>9.9105592104</x:v>
      </x:c>
      <x:c r="G61" s="19" t="n">
        <x:f>ABS(F61/C61-1)</x:f>
        <x:v>0.007753383019623472</x:v>
      </x:c>
      <x:c r="H61" s="2"/>
      <x:c r="I61" s="2"/>
      <x:c r="J61" s="2"/>
    </x:row>
    <x:row r="62" ht="24" customHeight="1">
      <x:c r="A62" s="2" t="str">
        <x:v>2025Q1</x:v>
      </x:c>
      <x:c r="B62" s="2" t="str">
        <x:v>金融</x:v>
      </x:c>
      <x:c r="C62" s="18" t="n">
        <x:v>11.809</x:v>
      </x:c>
      <x:c r="D62" s="18" t="n">
        <x:v>59.7506</x:v>
      </x:c>
      <x:c r="E62" s="21" t="n">
        <x:v>0.19595700000000002</x:v>
      </x:c>
      <x:c r="F62" s="15" t="n">
        <x:f>D62*E62</x:f>
        <x:v>11.7085483242</x:v>
      </x:c>
      <x:c r="G62" s="19" t="n">
        <x:f>ABS(F62/C62-1)</x:f>
        <x:v>0.00850636597510357</x:v>
      </x:c>
      <x:c r="H62" s="2"/>
      <x:c r="I62" s="2"/>
      <x:c r="J62" s="2"/>
    </x:row>
    <x:row r="63" ht="24" customHeight="1">
      <x:c r="A63" s="2" t="str">
        <x:v>2025Q1</x:v>
      </x:c>
      <x:c r="B63" s="2" t="str">
        <x:v>医疗保健</x:v>
      </x:c>
      <x:c r="C63" s="18" t="n">
        <x:v>23.473</x:v>
      </x:c>
      <x:c r="D63" s="18" t="n">
        <x:v>271.0981</x:v>
      </x:c>
      <x:c r="E63" s="21" t="n">
        <x:v>0.08671699999999999</x:v>
      </x:c>
      <x:c r="F63" s="15" t="n">
        <x:f>D63*E63</x:f>
        <x:v>23.508813937699998</x:v>
      </x:c>
      <x:c r="G63" s="19" t="n">
        <x:f>ABS(F63/C63-1)</x:f>
        <x:v>0.0015257503386869598</x:v>
      </x:c>
      <x:c r="H63" s="2"/>
      <x:c r="I63" s="2"/>
      <x:c r="J63" s="2"/>
    </x:row>
    <x:row r="64" ht="24" customHeight="1">
      <x:c r="A64" s="2" t="str">
        <x:v>2025Q1</x:v>
      </x:c>
      <x:c r="B64" s="2" t="str">
        <x:v>工业</x:v>
      </x:c>
      <x:c r="C64" s="18" t="n">
        <x:v>10.896</x:v>
      </x:c>
      <x:c r="D64" s="18" t="n">
        <x:v>106.7466</x:v>
      </x:c>
      <x:c r="E64" s="21" t="n">
        <x:v>0.10264799999999999</x:v>
      </x:c>
      <x:c r="F64" s="15" t="n">
        <x:f>D64*E64</x:f>
        <x:v>10.957324996799999</x:v>
      </x:c>
      <x:c r="G64" s="19" t="n">
        <x:f>ABS(F64/C64-1)</x:f>
        <x:v>0.005628211894272983</x:v>
      </x:c>
      <x:c r="H64" s="2"/>
      <x:c r="I64" s="2"/>
      <x:c r="J64" s="2"/>
    </x:row>
    <x:row r="65" ht="24" customHeight="1">
      <x:c r="A65" s="2" t="str">
        <x:v>2025Q1</x:v>
      </x:c>
      <x:c r="B65" s="2" t="str">
        <x:v>信息技术</x:v>
      </x:c>
      <x:c r="C65" s="18" t="n">
        <x:v>35.626</x:v>
      </x:c>
      <x:c r="D65" s="18" t="n">
        <x:v>136.2489</x:v>
      </x:c>
      <x:c r="E65" s="21" t="n">
        <x:v>0.260728</x:v>
      </x:c>
      <x:c r="F65" s="15" t="n">
        <x:f>D65*E65</x:f>
        <x:v>35.5239031992</x:v>
      </x:c>
      <x:c r="G65" s="19" t="n">
        <x:f>ABS(F65/C65-1)</x:f>
        <x:v>0.002865794666816357</x:v>
      </x:c>
      <x:c r="H65" s="2"/>
      <x:c r="I65" s="2"/>
      <x:c r="J65" s="2"/>
    </x:row>
    <x:row r="66" ht="24" customHeight="1">
      <x:c r="A66" s="2" t="str">
        <x:v>2025Q1</x:v>
      </x:c>
      <x:c r="B66" s="2" t="str">
        <x:v>材料</x:v>
      </x:c>
      <x:c r="C66" s="18" t="n">
        <x:v>5.598</x:v>
      </x:c>
      <x:c r="D66" s="18" t="n">
        <x:v>56.1515</x:v>
      </x:c>
      <x:c r="E66" s="21" t="n">
        <x:v>0.10003999999999999</x:v>
      </x:c>
      <x:c r="F66" s="15" t="n">
        <x:f>D66*E66</x:f>
        <x:v>5.617396059999999</x:v>
      </x:c>
      <x:c r="G66" s="19" t="n">
        <x:f>ABS(F66/C66-1)</x:f>
        <x:v>0.003464819578420819</x:v>
      </x:c>
      <x:c r="H66" s="2"/>
      <x:c r="I66" s="2"/>
      <x:c r="J66" s="2"/>
    </x:row>
    <x:row r="67" ht="24" customHeight="1">
      <x:c r="A67" s="2" t="str">
        <x:v>2025Q1</x:v>
      </x:c>
      <x:c r="B67" s="2" t="str">
        <x:v>房地产</x:v>
      </x:c>
      <x:c r="C67" s="18" t="n">
        <x:v>2.781</x:v>
      </x:c>
      <x:c r="D67" s="18" t="n">
        <x:v>9.8699</x:v>
      </x:c>
      <x:c r="E67" s="21" t="n">
        <x:v>0.28120100000000003</x:v>
      </x:c>
      <x:c r="F67" s="15" t="n">
        <x:f>D67*E67</x:f>
        <x:v>2.7754257499</x:v>
      </x:c>
      <x:c r="G67" s="19" t="n">
        <x:f>ABS(F67/C67-1)</x:f>
        <x:v>0.002004404926285508</x:v>
      </x:c>
      <x:c r="H67" s="2"/>
      <x:c r="I67" s="2"/>
      <x:c r="J67" s="2"/>
    </x:row>
    <x:row r="68" ht="24" customHeight="1">
      <x:c r="A68" s="2" t="str">
        <x:v>2025Q1</x:v>
      </x:c>
      <x:c r="B68" s="2" t="str">
        <x:v>公用事业</x:v>
      </x:c>
      <x:c r="C68" s="18" t="n">
        <x:v>5.719</x:v>
      </x:c>
      <x:c r="D68" s="18" t="n">
        <x:v>40.7314</x:v>
      </x:c>
      <x:c r="E68" s="21" t="n">
        <x:v>0.140533</x:v>
      </x:c>
      <x:c r="F68" s="15" t="n">
        <x:f>D68*E68</x:f>
        <x:v>5.7241058362</x:v>
      </x:c>
      <x:c r="G68" s="19" t="n">
        <x:f>ABS(F68/C68-1)</x:f>
        <x:v>0.0008927847875501715</x:v>
      </x:c>
      <x:c r="H68" s="2"/>
      <x:c r="I68" s="2"/>
      <x:c r="J68" s="2"/>
    </x:row>
    <x:row r="69" ht="24" customHeight="1">
      <x:c r="A69" s="2" t="str">
        <x:v>2025Q2</x:v>
      </x:c>
      <x:c r="B69" s="2" t="str">
        <x:v>通信服务</x:v>
      </x:c>
      <x:c r="C69" s="18" t="n">
        <x:v>4.759</x:v>
      </x:c>
      <x:c r="D69" s="18" t="n">
        <x:v>22.4557</x:v>
      </x:c>
      <x:c r="E69" s="21" t="n">
        <x:v>0.21383400000000002</x:v>
      </x:c>
      <x:c r="F69" s="15" t="n">
        <x:f>D69*E69</x:f>
        <x:v>4.801792153800001</x:v>
      </x:c>
      <x:c r="G69" s="19" t="n">
        <x:f>ABS(F69/C69-1)</x:f>
        <x:v>0.008991837318764517</x:v>
      </x:c>
      <x:c r="H69" s="2"/>
      <x:c r="I69" s="2"/>
      <x:c r="J69" s="2"/>
    </x:row>
    <x:row r="70" ht="24" customHeight="1">
      <x:c r="A70" s="2" t="str">
        <x:v>2025Q2</x:v>
      </x:c>
      <x:c r="B70" s="2" t="str">
        <x:v>可选消费</x:v>
      </x:c>
      <x:c r="C70" s="18" t="n">
        <x:v>15.677</x:v>
      </x:c>
      <x:c r="D70" s="18" t="n">
        <x:v>166.941</x:v>
      </x:c>
      <x:c r="E70" s="21" t="n">
        <x:v>0.094094</x:v>
      </x:c>
      <x:c r="F70" s="15" t="n">
        <x:f>D70*E70</x:f>
        <x:v>15.708146454</x:v>
      </x:c>
      <x:c r="G70" s="19" t="n">
        <x:f>ABS(F70/C70-1)</x:f>
        <x:v>0.0019867611150092834</x:v>
      </x:c>
      <x:c r="H70" s="2"/>
      <x:c r="I70" s="2"/>
      <x:c r="J70" s="2"/>
    </x:row>
    <x:row r="71" ht="24" customHeight="1">
      <x:c r="A71" s="2" t="str">
        <x:v>2025Q2</x:v>
      </x:c>
      <x:c r="B71" s="2" t="str">
        <x:v>必需消费</x:v>
      </x:c>
      <x:c r="C71" s="18" t="n">
        <x:v>9.78</x:v>
      </x:c>
      <x:c r="D71" s="18" t="n">
        <x:v>133.0104</x:v>
      </x:c>
      <x:c r="E71" s="21" t="n">
        <x:v>0.07360699999999999</x:v>
      </x:c>
      <x:c r="F71" s="15" t="n">
        <x:f>D71*E71</x:f>
        <x:v>9.790496512799999</x:v>
      </x:c>
      <x:c r="G71" s="19" t="n">
        <x:f>ABS(F71/C71-1)</x:f>
        <x:v>0.0010732630674845645</x:v>
      </x:c>
      <x:c r="H71" s="2"/>
      <x:c r="I71" s="2"/>
      <x:c r="J71" s="2"/>
    </x:row>
    <x:row r="72" ht="24" customHeight="1">
      <x:c r="A72" s="2" t="str">
        <x:v>2025Q2</x:v>
      </x:c>
      <x:c r="B72" s="2" t="str">
        <x:v>能源</x:v>
      </x:c>
      <x:c r="C72" s="18" t="n">
        <x:v>9.834</x:v>
      </x:c>
      <x:c r="D72" s="18" t="n">
        <x:v>125.8592</x:v>
      </x:c>
      <x:c r="E72" s="21" t="n">
        <x:v>0.077657</x:v>
      </x:c>
      <x:c r="F72" s="15" t="n">
        <x:f>D72*E72</x:f>
        <x:v>9.773847894400001</x:v>
      </x:c>
      <x:c r="G72" s="19" t="n">
        <x:f>ABS(F72/C72-1)</x:f>
        <x:v>0.006116748586536325</x:v>
      </x:c>
      <x:c r="H72" s="2"/>
      <x:c r="I72" s="2"/>
      <x:c r="J72" s="2"/>
    </x:row>
    <x:row r="73" ht="24" customHeight="1">
      <x:c r="A73" s="2" t="str">
        <x:v>2025Q2</x:v>
      </x:c>
      <x:c r="B73" s="2" t="str">
        <x:v>金融</x:v>
      </x:c>
      <x:c r="C73" s="18" t="n">
        <x:v>12.972</x:v>
      </x:c>
      <x:c r="D73" s="18" t="n">
        <x:v>61.7492</x:v>
      </x:c>
      <x:c r="E73" s="21" t="n">
        <x:v>0.20936900000000003</x:v>
      </x:c>
      <x:c r="F73" s="15" t="n">
        <x:f>D73*E73</x:f>
        <x:v>12.928368254800002</x:v>
      </x:c>
      <x:c r="G73" s="19" t="n">
        <x:f>ABS(F73/C73-1)</x:f>
        <x:v>0.0033635326241132635</x:v>
      </x:c>
      <x:c r="H73" s="2"/>
      <x:c r="I73" s="2"/>
      <x:c r="J73" s="2"/>
    </x:row>
    <x:row r="74" ht="24" customHeight="1">
      <x:c r="A74" s="2" t="str">
        <x:v>2025Q2</x:v>
      </x:c>
      <x:c r="B74" s="2" t="str">
        <x:v>医疗保健</x:v>
      </x:c>
      <x:c r="C74" s="18" t="n">
        <x:v>23.025</x:v>
      </x:c>
      <x:c r="D74" s="18" t="n">
        <x:v>289.2535</x:v>
      </x:c>
      <x:c r="E74" s="21" t="n">
        <x:v>0.079734</x:v>
      </x:c>
      <x:c r="F74" s="15" t="n">
        <x:f>D74*E74</x:f>
        <x:v>23.063338569</x:v>
      </x:c>
      <x:c r="G74" s="19" t="n">
        <x:f>ABS(F74/C74-1)</x:f>
        <x:v>0.0016650844299674894</x:v>
      </x:c>
      <x:c r="H74" s="2"/>
      <x:c r="I74" s="2"/>
      <x:c r="J74" s="2"/>
    </x:row>
    <x:row r="75" ht="24" customHeight="1">
      <x:c r="A75" s="2" t="str">
        <x:v>2025Q2</x:v>
      </x:c>
      <x:c r="B75" s="2" t="str">
        <x:v>工业</x:v>
      </x:c>
      <x:c r="C75" s="18" t="n">
        <x:v>12.312</x:v>
      </x:c>
      <x:c r="D75" s="18" t="n">
        <x:v>116.1137</x:v>
      </x:c>
      <x:c r="E75" s="21" t="n">
        <x:v>0.105968</x:v>
      </x:c>
      <x:c r="F75" s="15" t="n">
        <x:f>D75*E75</x:f>
        <x:v>12.3043365616</x:v>
      </x:c>
      <x:c r="G75" s="19" t="n">
        <x:f>ABS(F75/C75-1)</x:f>
        <x:v>0.0006224365172189383</x:v>
      </x:c>
      <x:c r="H75" s="2"/>
      <x:c r="I75" s="2"/>
      <x:c r="J75" s="2"/>
    </x:row>
    <x:row r="76" ht="24" customHeight="1">
      <x:c r="A76" s="2" t="str">
        <x:v>2025Q2</x:v>
      </x:c>
      <x:c r="B76" s="2" t="str">
        <x:v>信息技术</x:v>
      </x:c>
      <x:c r="C76" s="18" t="n">
        <x:v>37.905</x:v>
      </x:c>
      <x:c r="D76" s="18" t="n">
        <x:v>144.1352</x:v>
      </x:c>
      <x:c r="E76" s="21" t="n">
        <x:v>0.263681</x:v>
      </x:c>
      <x:c r="F76" s="15" t="n">
        <x:f>D76*E76</x:f>
        <x:v>38.0057136712</x:v>
      </x:c>
      <x:c r="G76" s="19" t="n">
        <x:f>ABS(F76/C76-1)</x:f>
        <x:v>0.002657002274106146</x:v>
      </x:c>
      <x:c r="H76" s="2"/>
      <x:c r="I76" s="2"/>
      <x:c r="J76" s="2"/>
    </x:row>
    <x:row r="77" ht="24" customHeight="1">
      <x:c r="A77" s="2" t="str">
        <x:v>2025Q2</x:v>
      </x:c>
      <x:c r="B77" s="2" t="str">
        <x:v>材料</x:v>
      </x:c>
      <x:c r="C77" s="18" t="n">
        <x:v>7.115</x:v>
      </x:c>
      <x:c r="D77" s="18" t="n">
        <x:v>67.3051</x:v>
      </x:c>
      <x:c r="E77" s="21" t="n">
        <x:v>0.105573</x:v>
      </x:c>
      <x:c r="F77" s="15" t="n">
        <x:f>D77*E77</x:f>
        <x:v>7.105601322299999</x:v>
      </x:c>
      <x:c r="G77" s="19" t="n">
        <x:f>ABS(F77/C77-1)</x:f>
        <x:v>0.0013209666479270243</x:v>
      </x:c>
      <x:c r="H77" s="2"/>
      <x:c r="I77" s="2"/>
      <x:c r="J77" s="2"/>
    </x:row>
    <x:row r="78" ht="24" customHeight="1">
      <x:c r="A78" s="2" t="str">
        <x:v>2025Q2</x:v>
      </x:c>
      <x:c r="B78" s="2" t="str">
        <x:v>房地产</x:v>
      </x:c>
      <x:c r="C78" s="18" t="n">
        <x:v>3.071</x:v>
      </x:c>
      <x:c r="D78" s="18" t="n">
        <x:v>10.2666</x:v>
      </x:c>
      <x:c r="E78" s="21" t="n">
        <x:v>0.299508</x:v>
      </x:c>
      <x:c r="F78" s="15" t="n">
        <x:f>D78*E78</x:f>
        <x:v>3.0749288328</x:v>
      </x:c>
      <x:c r="G78" s="19" t="n">
        <x:f>ABS(F78/C78-1)</x:f>
        <x:v>0.0012793333767502357</x:v>
      </x:c>
      <x:c r="H78" s="2"/>
      <x:c r="I78" s="2"/>
      <x:c r="J78" s="2"/>
    </x:row>
    <x:row r="79" ht="24" customHeight="1">
      <x:c r="A79" s="2" t="str">
        <x:v>2025Q2</x:v>
      </x:c>
      <x:c r="B79" s="2" t="str">
        <x:v>公用事业</x:v>
      </x:c>
      <x:c r="C79" s="18" t="n">
        <x:v>4.593</x:v>
      </x:c>
      <x:c r="D79" s="18" t="n">
        <x:v>35.6647</x:v>
      </x:c>
      <x:c r="E79" s="21" t="n">
        <x:v>0.128107</x:v>
      </x:c>
      <x:c r="F79" s="15" t="n">
        <x:f>D79*E79</x:f>
        <x:v>4.5688977229</x:v>
      </x:c>
      <x:c r="G79" s="19" t="n">
        <x:f>ABS(F79/C79-1)</x:f>
        <x:v>0.005247610951447879</x:v>
      </x:c>
      <x:c r="H79" s="2"/>
      <x:c r="I79" s="2"/>
      <x:c r="J79" s="2"/>
    </x:row>
    <x:row r="80" ht="24" customHeight="1">
      <x:c r="A80" s="2" t="str">
        <x:v>2025Q3</x:v>
      </x:c>
      <x:c r="B80" s="2" t="str">
        <x:v>通信服务</x:v>
      </x:c>
      <x:c r="C80" s="18" t="n">
        <x:v>3.926</x:v>
      </x:c>
      <x:c r="D80" s="18" t="n">
        <x:v>22.876</x:v>
      </x:c>
      <x:c r="E80" s="21" t="n">
        <x:v>0.172332</x:v>
      </x:c>
      <x:c r="F80" s="15" t="n">
        <x:f>D80*E80</x:f>
        <x:v>3.9422668320000005</x:v>
      </x:c>
      <x:c r="G80" s="19" t="n">
        <x:f>ABS(F80/C80-1)</x:f>
        <x:v>0.004143360163015863</x:v>
      </x:c>
      <x:c r="H80" s="2"/>
      <x:c r="I80" s="2"/>
      <x:c r="J80" s="2"/>
    </x:row>
    <x:row r="81" ht="24" customHeight="1">
      <x:c r="A81" s="2" t="str">
        <x:v>2025Q3</x:v>
      </x:c>
      <x:c r="B81" s="2" t="str">
        <x:v>可选消费</x:v>
      </x:c>
      <x:c r="C81" s="18" t="n">
        <x:v>17.518</x:v>
      </x:c>
      <x:c r="D81" s="18" t="n">
        <x:v>169.7511</x:v>
      </x:c>
      <x:c r="E81" s="21" t="n">
        <x:v>0.103543</x:v>
      </x:c>
      <x:c r="F81" s="15" t="n">
        <x:f>D81*E81</x:f>
        <x:v>17.5765381473</x:v>
      </x:c>
      <x:c r="G81" s="19" t="n">
        <x:f>ABS(F81/C81-1)</x:f>
        <x:v>0.003341599914373772</x:v>
      </x:c>
      <x:c r="H81" s="2"/>
      <x:c r="I81" s="2"/>
      <x:c r="J81" s="2"/>
    </x:row>
    <x:row r="82" ht="24" customHeight="1">
      <x:c r="A82" s="2" t="str">
        <x:v>2025Q3</x:v>
      </x:c>
      <x:c r="B82" s="2" t="str">
        <x:v>必需消费</x:v>
      </x:c>
      <x:c r="C82" s="18" t="n">
        <x:v>10.313</x:v>
      </x:c>
      <x:c r="D82" s="18" t="n">
        <x:v>143.8177</x:v>
      </x:c>
      <x:c r="E82" s="21" t="n">
        <x:v>0.07167</x:v>
      </x:c>
      <x:c r="F82" s="15" t="n">
        <x:f>D82*E82</x:f>
        <x:v>10.307414559</x:v>
      </x:c>
      <x:c r="G82" s="19" t="n">
        <x:f>ABS(F82/C82-1)</x:f>
        <x:v>0.0005415922621934133</x:v>
      </x:c>
      <x:c r="H82" s="2"/>
      <x:c r="I82" s="2"/>
      <x:c r="J82" s="2"/>
    </x:row>
    <x:row r="83" ht="24" customHeight="1">
      <x:c r="A83" s="2" t="str">
        <x:v>2025Q3</x:v>
      </x:c>
      <x:c r="B83" s="2" t="str">
        <x:v>能源</x:v>
      </x:c>
      <x:c r="C83" s="18" t="n">
        <x:v>10.698</x:v>
      </x:c>
      <x:c r="D83" s="18" t="n">
        <x:v>131.7203</x:v>
      </x:c>
      <x:c r="E83" s="21" t="n">
        <x:v>0.079626</x:v>
      </x:c>
      <x:c r="F83" s="15" t="n">
        <x:f>D83*E83</x:f>
        <x:v>10.4883606078</x:v>
      </x:c>
      <x:c r="G83" s="19" t="n">
        <x:f>ABS(F83/C83-1)</x:f>
        <x:v>0.019596129388670724</x:v>
      </x:c>
      <x:c r="H83" s="2"/>
      <x:c r="I83" s="2"/>
      <x:c r="J83" s="2"/>
    </x:row>
    <x:row r="84" ht="24" customHeight="1">
      <x:c r="A84" s="2" t="str">
        <x:v>2025Q3</x:v>
      </x:c>
      <x:c r="B84" s="2" t="str">
        <x:v>金融</x:v>
      </x:c>
      <x:c r="C84" s="18" t="n">
        <x:v>13.65</x:v>
      </x:c>
      <x:c r="D84" s="18" t="n">
        <x:v>63.71</x:v>
      </x:c>
      <x:c r="E84" s="21" t="n">
        <x:v>0.214103</x:v>
      </x:c>
      <x:c r="F84" s="15" t="n">
        <x:f>D84*E84</x:f>
        <x:v>13.64050213</x:v>
      </x:c>
      <x:c r="G84" s="19" t="n">
        <x:f>ABS(F84/C84-1)</x:f>
        <x:v>0.0006958146520147368</x:v>
      </x:c>
      <x:c r="H84" s="2"/>
      <x:c r="I84" s="2"/>
      <x:c r="J84" s="2"/>
    </x:row>
    <x:row r="85" ht="24" customHeight="1">
      <x:c r="A85" s="2" t="str">
        <x:v>2025Q3</x:v>
      </x:c>
      <x:c r="B85" s="2" t="str">
        <x:v>医疗保健</x:v>
      </x:c>
      <x:c r="C85" s="18" t="n">
        <x:v>23.127</x:v>
      </x:c>
      <x:c r="D85" s="18" t="n">
        <x:v>298.3655</x:v>
      </x:c>
      <x:c r="E85" s="21" t="n">
        <x:v>0.077306</x:v>
      </x:c>
      <x:c r="F85" s="15" t="n">
        <x:f>D85*E85</x:f>
        <x:v>23.065443343</x:v>
      </x:c>
      <x:c r="G85" s="19" t="n">
        <x:f>ABS(F85/C85-1)</x:f>
        <x:v>0.0026616792926017485</x:v>
      </x:c>
      <x:c r="H85" s="2"/>
      <x:c r="I85" s="2"/>
      <x:c r="J85" s="2"/>
    </x:row>
    <x:row r="86" ht="24" customHeight="1">
      <x:c r="A86" s="2" t="str">
        <x:v>2025Q3</x:v>
      </x:c>
      <x:c r="B86" s="2" t="str">
        <x:v>工业</x:v>
      </x:c>
      <x:c r="C86" s="18" t="n">
        <x:v>12.408</x:v>
      </x:c>
      <x:c r="D86" s="18" t="n">
        <x:v>117.4299</x:v>
      </x:c>
      <x:c r="E86" s="21" t="n">
        <x:v>0.105415</x:v>
      </x:c>
      <x:c r="F86" s="15" t="n">
        <x:f>D86*E86</x:f>
        <x:v>12.3788729085</x:v>
      </x:c>
      <x:c r="G86" s="19" t="n">
        <x:f>ABS(F86/C86-1)</x:f>
        <x:v>0.002347444511605401</x:v>
      </x:c>
      <x:c r="H86" s="2"/>
      <x:c r="I86" s="2"/>
      <x:c r="J86" s="2"/>
    </x:row>
    <x:row r="87" ht="24" customHeight="1">
      <x:c r="A87" s="2" t="str">
        <x:v>2025Q3</x:v>
      </x:c>
      <x:c r="B87" s="2" t="str">
        <x:v>信息技术</x:v>
      </x:c>
      <x:c r="C87" s="18" t="n">
        <x:v>43.475</x:v>
      </x:c>
      <x:c r="D87" s="18" t="n">
        <x:v>150.3461</x:v>
      </x:c>
      <x:c r="E87" s="21" t="n">
        <x:v>0.288287</x:v>
      </x:c>
      <x:c r="F87" s="15" t="n">
        <x:f>D87*E87</x:f>
        <x:v>43.342826130700004</x:v>
      </x:c>
      <x:c r="G87" s="19" t="n">
        <x:f>ABS(F87/C87-1)</x:f>
        <x:v>0.0030402270109257667</x:v>
      </x:c>
      <x:c r="H87" s="2"/>
      <x:c r="I87" s="2"/>
      <x:c r="J87" s="2"/>
    </x:row>
    <x:row r="88" ht="24" customHeight="1">
      <x:c r="A88" s="2" t="str">
        <x:v>2025Q3</x:v>
      </x:c>
      <x:c r="B88" s="2" t="str">
        <x:v>材料</x:v>
      </x:c>
      <x:c r="C88" s="18" t="n">
        <x:v>6.484</x:v>
      </x:c>
      <x:c r="D88" s="18" t="n">
        <x:v>64.3298</x:v>
      </x:c>
      <x:c r="E88" s="21" t="n">
        <x:v>0.10003999999999999</x:v>
      </x:c>
      <x:c r="F88" s="15" t="n">
        <x:f>D88*E88</x:f>
        <x:v>6.4355531919999995</x:v>
      </x:c>
      <x:c r="G88" s="19" t="n">
        <x:f>ABS(F88/C88-1)</x:f>
        <x:v>0.0074717470697101</x:v>
      </x:c>
      <x:c r="H88" s="2"/>
      <x:c r="I88" s="2"/>
      <x:c r="J88" s="2"/>
    </x:row>
    <x:row r="89" ht="24" customHeight="1">
      <x:c r="A89" s="2" t="str">
        <x:v>2025Q3</x:v>
      </x:c>
      <x:c r="B89" s="2" t="str">
        <x:v>房地产</x:v>
      </x:c>
      <x:c r="C89" s="18" t="n">
        <x:v>3.19</x:v>
      </x:c>
      <x:c r="D89" s="18" t="n">
        <x:v>10.3387</x:v>
      </x:c>
      <x:c r="E89" s="21" t="n">
        <x:v>0.307776</x:v>
      </x:c>
      <x:c r="F89" s="15" t="n">
        <x:f>D89*E89</x:f>
        <x:v>3.1820037311999996</x:v>
      </x:c>
      <x:c r="G89" s="19" t="n">
        <x:f>ABS(F89/C89-1)</x:f>
        <x:v>0.0025066673354232627</x:v>
      </x:c>
      <x:c r="H89" s="2"/>
      <x:c r="I89" s="2"/>
      <x:c r="J89" s="2"/>
    </x:row>
    <x:row r="90" ht="24" customHeight="1">
      <x:c r="A90" s="2" t="str">
        <x:v>2025Q3</x:v>
      </x:c>
      <x:c r="B90" s="2" t="str">
        <x:v>公用事业</x:v>
      </x:c>
      <x:c r="C90" s="18" t="n">
        <x:v>6.958</x:v>
      </x:c>
      <x:c r="D90" s="18" t="n">
        <x:v>40.9974</x:v>
      </x:c>
      <x:c r="E90" s="21" t="n">
        <x:v>0.169527</x:v>
      </x:c>
      <x:c r="F90" s="15" t="n">
        <x:f>D90*E90</x:f>
        <x:v>6.950166229800001</x:v>
      </x:c>
      <x:c r="G90" s="19" t="n">
        <x:f>ABS(F90/C90-1)</x:f>
        <x:v>0.001125865219890665</x:v>
      </x:c>
      <x:c r="H90" s="2"/>
      <x:c r="I90" s="2"/>
      <x:c r="J90" s="2"/>
    </x:row>
    <x:row r="91" ht="24" customHeight="1">
      <x:c r="A91" s="2" t="str">
        <x:v>2025Q4</x:v>
      </x:c>
      <x:c r="B91" s="2" t="str">
        <x:v>通信服务</x:v>
      </x:c>
      <x:c r="C91" s="18" t="n">
        <x:v>5.028</x:v>
      </x:c>
      <x:c r="D91" s="18" t="n">
        <x:v>25.2862</x:v>
      </x:c>
      <x:c r="E91" s="21" t="n">
        <x:v>0.2</x:v>
      </x:c>
      <x:c r="F91" s="15" t="n">
        <x:f>D91*E91</x:f>
        <x:v>5.05724</x:v>
      </x:c>
      <x:c r="G91" s="19" t="n">
        <x:f>ABS(F91/C91-1)</x:f>
        <x:v>0.005815433571996875</x:v>
      </x:c>
      <x:c r="H91" s="2"/>
      <x:c r="I91" s="2"/>
      <x:c r="J91" s="2"/>
    </x:row>
    <x:row r="92" ht="24" customHeight="1">
      <x:c r="A92" s="2" t="str">
        <x:v>2025Q4</x:v>
      </x:c>
      <x:c r="B92" s="2" t="str">
        <x:v>可选消费</x:v>
      </x:c>
      <x:c r="C92" s="18" t="n">
        <x:v>14.946</x:v>
      </x:c>
      <x:c r="D92" s="18" t="n">
        <x:v>173.373</x:v>
      </x:c>
      <x:c r="E92" s="21" t="n">
        <x:v>0.08622</x:v>
      </x:c>
      <x:c r="F92" s="15" t="n">
        <x:f>D92*E92</x:f>
        <x:v>14.94822006</x:v>
      </x:c>
      <x:c r="G92" s="19" t="n">
        <x:f>ABS(F92/C92-1)</x:f>
        <x:v>0.00014853873946218954</x:v>
      </x:c>
      <x:c r="H92" s="2"/>
      <x:c r="I92" s="2"/>
      <x:c r="J92" s="2"/>
    </x:row>
    <x:row r="93" ht="24" customHeight="1">
      <x:c r="A93" s="2" t="str">
        <x:v>2025Q4</x:v>
      </x:c>
      <x:c r="B93" s="2" t="str">
        <x:v>必需消费</x:v>
      </x:c>
      <x:c r="C93" s="18" t="n">
        <x:v>9.91</x:v>
      </x:c>
      <x:c r="D93" s="18" t="n">
        <x:v>144.2222</x:v>
      </x:c>
      <x:c r="E93" s="21" t="n">
        <x:v>0.06862599999999999</x:v>
      </x:c>
      <x:c r="F93" s="15" t="n">
        <x:f>D93*E93</x:f>
        <x:v>9.897392697199997</x:v>
      </x:c>
      <x:c r="G93" s="19" t="n">
        <x:f>ABS(F93/C93-1)</x:f>
        <x:v>0.0012721798990921185</x:v>
      </x:c>
      <x:c r="H93" s="2"/>
      <x:c r="I93" s="2"/>
      <x:c r="J93" s="2"/>
    </x:row>
    <x:row r="94" ht="24" customHeight="1">
      <x:c r="A94" s="2" t="str">
        <x:v>2025Q4</x:v>
      </x:c>
      <x:c r="B94" s="2" t="str">
        <x:v>能源</x:v>
      </x:c>
      <x:c r="C94" s="18" t="n">
        <x:v>10.068</x:v>
      </x:c>
      <x:c r="D94" s="18" t="n">
        <x:v>128.6305</x:v>
      </x:c>
      <x:c r="E94" s="21" t="n">
        <x:v>0.077657</x:v>
      </x:c>
      <x:c r="F94" s="15" t="n">
        <x:f>D94*E94</x:f>
        <x:v>9.9890587385</x:v>
      </x:c>
      <x:c r="G94" s="19" t="n">
        <x:f>ABS(F94/C94-1)</x:f>
        <x:v>0.007840808651171871</x:v>
      </x:c>
      <x:c r="H94" s="2"/>
      <x:c r="I94" s="2"/>
      <x:c r="J94" s="2"/>
    </x:row>
    <x:row r="95" ht="24" customHeight="1">
      <x:c r="A95" s="2" t="str">
        <x:v>2025Q4</x:v>
      </x:c>
      <x:c r="B95" s="2" t="str">
        <x:v>金融</x:v>
      </x:c>
      <x:c r="C95" s="18" t="n">
        <x:v>13.24</x:v>
      </x:c>
      <x:c r="D95" s="18" t="n">
        <x:v>63.9401</x:v>
      </x:c>
      <x:c r="E95" s="21" t="n">
        <x:v>0.206213</x:v>
      </x:c>
      <x:c r="F95" s="15" t="n">
        <x:f>D95*E95</x:f>
        <x:v>13.1852798413</x:v>
      </x:c>
      <x:c r="G95" s="19" t="n">
        <x:f>ABS(F95/C95-1)</x:f>
        <x:v>0.00413294250000007</x:v>
      </x:c>
      <x:c r="H95" s="2"/>
      <x:c r="I95" s="2"/>
      <x:c r="J95" s="2"/>
    </x:row>
    <x:row r="96" ht="24" customHeight="1">
      <x:c r="A96" s="2" t="str">
        <x:v>2025Q4</x:v>
      </x:c>
      <x:c r="B96" s="2" t="str">
        <x:v>医疗保健</x:v>
      </x:c>
      <x:c r="C96" s="18" t="n">
        <x:v>21.097</x:v>
      </x:c>
      <x:c r="D96" s="18" t="n">
        <x:v>303.996</x:v>
      </x:c>
      <x:c r="E96" s="21" t="n">
        <x:v>0.069412</x:v>
      </x:c>
      <x:c r="F96" s="15" t="n">
        <x:f>D96*E96</x:f>
        <x:v>21.100970351999997</x:v>
      </x:c>
      <x:c r="G96" s="19" t="n">
        <x:f>ABS(F96/C96-1)</x:f>
        <x:v>0.00018819509882894714</x:v>
      </x:c>
      <x:c r="H96" s="2"/>
      <x:c r="I96" s="2"/>
      <x:c r="J96" s="2"/>
    </x:row>
    <x:row r="97" ht="24" customHeight="1">
      <x:c r="A97" s="2" t="str">
        <x:v>2025Q4</x:v>
      </x:c>
      <x:c r="B97" s="2" t="str">
        <x:v>工业</x:v>
      </x:c>
      <x:c r="C97" s="18" t="n">
        <x:v>14.262</x:v>
      </x:c>
      <x:c r="D97" s="18" t="n">
        <x:v>120.8111</x:v>
      </x:c>
      <x:c r="E97" s="21" t="n">
        <x:v>0.118142</x:v>
      </x:c>
      <x:c r="F97" s="15" t="n">
        <x:f>D97*E97</x:f>
        <x:v>14.2728649762</x:v>
      </x:c>
      <x:c r="G97" s="19" t="n">
        <x:f>ABS(F97/C97-1)</x:f>
        <x:v>0.0007618129434860954</x:v>
      </x:c>
      <x:c r="H97" s="2"/>
      <x:c r="I97" s="2"/>
      <x:c r="J97" s="2"/>
    </x:row>
    <x:row r="98" ht="24" customHeight="1">
      <x:c r="A98" s="2" t="str">
        <x:v>2025Q4</x:v>
      </x:c>
      <x:c r="B98" s="2" t="str">
        <x:v>信息技术</x:v>
      </x:c>
      <x:c r="C98" s="18" t="n">
        <x:v>52.564</x:v>
      </x:c>
      <x:c r="D98" s="18" t="n">
        <x:v>174.4344</x:v>
      </x:c>
      <x:c r="E98" s="21" t="n">
        <x:v>0.301083</x:v>
      </x:c>
      <x:c r="F98" s="15" t="n">
        <x:f>D98*E98</x:f>
        <x:v>52.519232455200004</x:v>
      </x:c>
      <x:c r="G98" s="19" t="n">
        <x:f>ABS(F98/C98-1)</x:f>
        <x:v>0.0008516769043450667</x:v>
      </x:c>
      <x:c r="H98" s="2"/>
      <x:c r="I98" s="2"/>
      <x:c r="J98" s="2"/>
    </x:row>
    <x:row r="99" ht="24" customHeight="1">
      <x:c r="A99" s="2" t="str">
        <x:v>2025Q4</x:v>
      </x:c>
      <x:c r="B99" s="2" t="str">
        <x:v>材料</x:v>
      </x:c>
      <x:c r="C99" s="18" t="n">
        <x:v>6.14</x:v>
      </x:c>
      <x:c r="D99" s="18" t="n">
        <x:v>63.6025</x:v>
      </x:c>
      <x:c r="E99" s="21" t="n">
        <x:v>0.096166</x:v>
      </x:c>
      <x:c r="F99" s="15" t="n">
        <x:f>D99*E99</x:f>
        <x:v>6.116398015</x:v>
      </x:c>
      <x:c r="G99" s="19" t="n">
        <x:f>ABS(F99/C99-1)</x:f>
        <x:v>0.0038439714983713458</x:v>
      </x:c>
      <x:c r="H99" s="2"/>
      <x:c r="I99" s="2"/>
      <x:c r="J99" s="2"/>
    </x:row>
    <x:row r="100" ht="24" customHeight="1">
      <x:c r="A100" s="2" t="str">
        <x:v>2025Q4</x:v>
      </x:c>
      <x:c r="B100" s="2" t="str">
        <x:v>房地产</x:v>
      </x:c>
      <x:c r="C100" s="18" t="n">
        <x:v>3.419</x:v>
      </x:c>
      <x:c r="D100" s="18" t="n">
        <x:v>10.9166</x:v>
      </x:c>
      <x:c r="E100" s="21" t="n">
        <x:v>0.3125</x:v>
      </x:c>
      <x:c r="F100" s="15" t="n">
        <x:f>D100*E100</x:f>
        <x:v>3.4114375000000003</x:v>
      </x:c>
      <x:c r="G100" s="19" t="n">
        <x:f>ABS(F100/C100-1)</x:f>
        <x:v>0.0022119040655161903</x:v>
      </x:c>
      <x:c r="H100" s="2"/>
      <x:c r="I100" s="2"/>
      <x:c r="J100" s="2"/>
    </x:row>
    <x:row r="101" ht="24" customHeight="1">
      <x:c r="A101" s="2" t="str">
        <x:v>2025Q4</x:v>
      </x:c>
      <x:c r="B101" s="2" t="str">
        <x:v>公用事业</x:v>
      </x:c>
      <x:c r="C101" s="18" t="n">
        <x:v>4.527</x:v>
      </x:c>
      <x:c r="D101" s="18" t="n">
        <x:v>38.3396</x:v>
      </x:c>
      <x:c r="E101" s="21" t="n">
        <x:v>0.11745599999999999</x:v>
      </x:c>
      <x:c r="F101" s="15" t="n">
        <x:f>D101*E101</x:f>
        <x:v>4.5032160575999995</x:v>
      </x:c>
      <x:c r="G101" s="19" t="n">
        <x:f>ABS(F101/C101-1)</x:f>
        <x:v>0.005253797746852307</x:v>
      </x:c>
      <x:c r="H101" s="2"/>
      <x:c r="I101" s="2"/>
      <x:c r="J101" s="2"/>
    </x:row>
    <x:row r="102" ht="24" customHeight="1">
      <x:c r="A102" s="2" t="str">
        <x:v>2026Q1</x:v>
      </x:c>
      <x:c r="B102" s="2" t="str">
        <x:v>通信服务</x:v>
      </x:c>
      <x:c r="C102" s="18" t="n">
        <x:v>7.118</x:v>
      </x:c>
      <x:c r="D102" s="18" t="n">
        <x:v>24.0085</x:v>
      </x:c>
      <x:c r="E102" s="21" t="n">
        <x:v>0.294862</x:v>
      </x:c>
      <x:c r="F102" s="15" t="n">
        <x:f>D102*E102</x:f>
        <x:v>7.079194327000001</x:v>
      </x:c>
      <x:c r="G102" s="19" t="n">
        <x:f>ABS(F102/C102-1)</x:f>
        <x:v>0.005451766366956989</x:v>
      </x:c>
      <x:c r="H102" s="2"/>
      <x:c r="I102" s="2"/>
      <x:c r="J102" s="2"/>
    </x:row>
    <x:row r="103" ht="24" customHeight="1">
      <x:c r="A103" s="2" t="str">
        <x:v>2026Q1</x:v>
      </x:c>
      <x:c r="B103" s="2" t="str">
        <x:v>可选消费</x:v>
      </x:c>
      <x:c r="C103" s="18" t="n">
        <x:v>17.72</x:v>
      </x:c>
      <x:c r="D103" s="18" t="n">
        <x:v>157.5223</x:v>
      </x:c>
      <x:c r="E103" s="21" t="n">
        <x:v>0.112205</x:v>
      </x:c>
      <x:c r="F103" s="15" t="n">
        <x:f>D103*E103</x:f>
        <x:v>17.6747896715</x:v>
      </x:c>
      <x:c r="G103" s="19" t="n">
        <x:f>ABS(F103/C103-1)</x:f>
        <x:v>0.002551372940180485</x:v>
      </x:c>
      <x:c r="H103" s="2"/>
      <x:c r="I103" s="2"/>
      <x:c r="J103" s="2"/>
    </x:row>
    <x:row r="104" ht="24" customHeight="1">
      <x:c r="A104" s="2" t="str">
        <x:v>2026Q1</x:v>
      </x:c>
      <x:c r="B104" s="2" t="str">
        <x:v>必需消费</x:v>
      </x:c>
      <x:c r="C104" s="18" t="n">
        <x:v>9.507</x:v>
      </x:c>
      <x:c r="D104" s="18" t="n">
        <x:v>141.317</x:v>
      </x:c>
      <x:c r="E104" s="21" t="n">
        <x:v>0.067105</x:v>
      </x:c>
      <x:c r="F104" s="15" t="n">
        <x:f>D104*E104</x:f>
        <x:v>9.483077285</x:v>
      </x:c>
      <x:c r="G104" s="19" t="n">
        <x:f>ABS(F104/C104-1)</x:f>
        <x:v>0.002516326391080237</x:v>
      </x:c>
      <x:c r="H104" s="2"/>
      <x:c r="I104" s="2"/>
      <x:c r="J104" s="2"/>
    </x:row>
    <x:row r="105" ht="24" customHeight="1">
      <x:c r="A105" s="2" t="str">
        <x:v>2026Q1</x:v>
      </x:c>
      <x:c r="B105" s="2" t="str">
        <x:v>能源</x:v>
      </x:c>
      <x:c r="C105" s="18" t="n">
        <x:v>10.124</x:v>
      </x:c>
      <x:c r="D105" s="18" t="n">
        <x:v>132.7739</x:v>
      </x:c>
      <x:c r="E105" s="21" t="n">
        <x:v>0.07470500000000001</x:v>
      </x:c>
      <x:c r="F105" s="15" t="n">
        <x:f>D105*E105</x:f>
        <x:v>9.918874199500001</x:v>
      </x:c>
      <x:c r="G105" s="19" t="n">
        <x:f>ABS(F105/C105-1)</x:f>
        <x:v>0.020261339440932336</x:v>
      </x:c>
      <x:c r="H105" s="2"/>
      <x:c r="I105" s="2"/>
      <x:c r="J105" s="2"/>
    </x:row>
    <x:row r="106" ht="24" customHeight="1">
      <x:c r="A106" s="2" t="str">
        <x:v>2026Q1</x:v>
      </x:c>
      <x:c r="B106" s="2" t="str">
        <x:v>金融</x:v>
      </x:c>
      <x:c r="C106" s="18" t="n">
        <x:v>14.179</x:v>
      </x:c>
      <x:c r="D106" s="18" t="n">
        <x:v>65.6832</x:v>
      </x:c>
      <x:c r="E106" s="21" t="n">
        <x:v>0.21568</x:v>
      </x:c>
      <x:c r="F106" s="15" t="n">
        <x:f>D106*E106</x:f>
        <x:v>14.166552576</x:v>
      </x:c>
      <x:c r="G106" s="19" t="n">
        <x:f>ABS(F106/C106-1)</x:f>
        <x:v>0.000877877424359963</x:v>
      </x:c>
      <x:c r="H106" s="2"/>
      <x:c r="I106" s="2"/>
      <x:c r="J106" s="2"/>
    </x:row>
    <x:row r="107" ht="24" customHeight="1">
      <x:c r="A107" s="2" t="str">
        <x:v>2026Q1</x:v>
      </x:c>
      <x:c r="B107" s="2" t="str">
        <x:v>医疗保健</x:v>
      </x:c>
      <x:c r="C107" s="18" t="n">
        <x:v>22.566</x:v>
      </x:c>
      <x:c r="D107" s="18" t="n">
        <x:v>290.1659</x:v>
      </x:c>
      <x:c r="E107" s="21" t="n">
        <x:v>0.077609</x:v>
      </x:c>
      <x:c r="F107" s="15" t="n">
        <x:f>D107*E107</x:f>
        <x:v>22.5194853331</x:v>
      </x:c>
      <x:c r="G107" s="19" t="n">
        <x:f>ABS(F107/C107-1)</x:f>
        <x:v>0.0020612721306390025</x:v>
      </x:c>
      <x:c r="H107" s="2"/>
      <x:c r="I107" s="2"/>
      <x:c r="J107" s="2"/>
    </x:row>
    <x:row r="108" ht="24" customHeight="1">
      <x:c r="A108" s="2" t="str">
        <x:v>2026Q1</x:v>
      </x:c>
      <x:c r="B108" s="2" t="str">
        <x:v>工业</x:v>
      </x:c>
      <x:c r="C108" s="18" t="n">
        <x:v>11.533</x:v>
      </x:c>
      <x:c r="D108" s="18" t="n">
        <x:v>110.1094</x:v>
      </x:c>
      <x:c r="E108" s="21" t="n">
        <x:v>0.104862</x:v>
      </x:c>
      <x:c r="F108" s="15" t="n">
        <x:f>D108*E108</x:f>
        <x:v>11.546291902799998</x:v>
      </x:c>
      <x:c r="G108" s="19" t="n">
        <x:f>ABS(F108/C108-1)</x:f>
        <x:v>0.0011525104309371148</x:v>
      </x:c>
      <x:c r="H108" s="2"/>
      <x:c r="I108" s="2"/>
      <x:c r="J108" s="2"/>
    </x:row>
    <x:row r="109" ht="24" customHeight="1">
      <x:c r="A109" s="2" t="str">
        <x:v>2026Q1</x:v>
      </x:c>
      <x:c r="B109" s="2" t="str">
        <x:v>信息技术</x:v>
      </x:c>
      <x:c r="C109" s="18" t="n">
        <x:v>54.993</x:v>
      </x:c>
      <x:c r="D109" s="18" t="n">
        <x:v>178.4071</x:v>
      </x:c>
      <x:c r="E109" s="21" t="n">
        <x:v>0.306988</x:v>
      </x:c>
      <x:c r="F109" s="15" t="n">
        <x:f>D109*E109</x:f>
        <x:v>54.7688388148</x:v>
      </x:c>
      <x:c r="G109" s="19" t="n">
        <x:f>ABS(F109/C109-1)</x:f>
        <x:v>0.004076176698852629</x:v>
      </x:c>
      <x:c r="H109" s="2"/>
      <x:c r="I109" s="2"/>
      <x:c r="J109" s="2"/>
    </x:row>
    <x:row r="110" ht="24" customHeight="1">
      <x:c r="A110" s="2" t="str">
        <x:v>2026Q1</x:v>
      </x:c>
      <x:c r="B110" s="2" t="str">
        <x:v>材料</x:v>
      </x:c>
      <x:c r="C110" s="18" t="n">
        <x:v>7.009</x:v>
      </x:c>
      <x:c r="D110" s="18" t="n">
        <x:v>65.7806</x:v>
      </x:c>
      <x:c r="E110" s="21" t="n">
        <x:v>0.105573</x:v>
      </x:c>
      <x:c r="F110" s="15" t="n">
        <x:f>D110*E110</x:f>
        <x:v>6.9446552838</x:v>
      </x:c>
      <x:c r="G110" s="19" t="n">
        <x:f>ABS(F110/C110-1)</x:f>
        <x:v>0.009180299072620857</x:v>
      </x:c>
      <x:c r="H110" s="2"/>
      <x:c r="I110" s="2"/>
      <x:c r="J110" s="2"/>
    </x:row>
    <x:row r="111" ht="24" customHeight="1">
      <x:c r="A111" s="2" t="str">
        <x:v>2026Q1</x:v>
      </x:c>
      <x:c r="B111" s="2" t="str">
        <x:v>房地产</x:v>
      </x:c>
      <x:c r="C111" s="18" t="n">
        <x:v>3.368</x:v>
      </x:c>
      <x:c r="D111" s="18" t="n">
        <x:v>10.8309</x:v>
      </x:c>
      <x:c r="E111" s="21" t="n">
        <x:v>0.311319</x:v>
      </x:c>
      <x:c r="F111" s="15" t="n">
        <x:f>D111*E111</x:f>
        <x:v>3.3718649571</x:v>
      </x:c>
      <x:c r="G111" s="19" t="n">
        <x:f>ABS(F111/C111-1)</x:f>
        <x:v>0.0011475525831354805</x:v>
      </x:c>
      <x:c r="H111" s="2"/>
      <x:c r="I111" s="2"/>
      <x:c r="J111" s="2"/>
    </x:row>
    <x:row r="112" ht="24" customHeight="1">
      <x:c r="A112" s="2" t="str">
        <x:v>2026Q1</x:v>
      </x:c>
      <x:c r="B112" s="2" t="str">
        <x:v>公用事业</x:v>
      </x:c>
      <x:c r="C112" s="18" t="n">
        <x:v>6.874</x:v>
      </x:c>
      <x:c r="D112" s="18" t="n">
        <x:v>45.3785</x:v>
      </x:c>
      <x:c r="E112" s="21" t="n">
        <x:v>0.15118299999999998</x:v>
      </x:c>
      <x:c r="F112" s="15" t="n">
        <x:f>D112*E112</x:f>
        <x:v>6.8604577655</x:v>
      </x:c>
      <x:c r="G112" s="19" t="n">
        <x:f>ABS(F112/C112-1)</x:f>
        <x:v>0.0019700661187082025</x:v>
      </x:c>
      <x:c r="H112" s="2"/>
      <x:c r="I112" s="2"/>
      <x:c r="J112" s="2"/>
    </x:row>
    <x:row r="113" ht="24" customHeight="1">
      <x:c r="A113" s="2" t="str">
        <x:v>2026Q2</x:v>
      </x:c>
      <x:c r="B113" s="2" t="str">
        <x:v>通信服务</x:v>
      </x:c>
      <x:c r="C113" s="18" t="n">
        <x:v>10.22</x:v>
      </x:c>
      <x:c r="D113" s="18" t="n">
        <x:v>25.4052</x:v>
      </x:c>
      <x:c r="E113" s="21" t="n">
        <x:v>0.403557</x:v>
      </x:c>
      <x:c r="F113" s="15" t="n">
        <x:f>D113*E113</x:f>
        <x:v>10.2524462964</x:v>
      </x:c>
      <x:c r="G113" s="19" t="n">
        <x:f>ABS(F113/C113-1)</x:f>
        <x:v>0.0031747843835616685</x:v>
      </x:c>
      <x:c r="H113" s="2"/>
      <x:c r="I113" s="2"/>
      <x:c r="J113" s="2"/>
    </x:row>
    <x:row r="114" ht="24" customHeight="1">
      <x:c r="A114" s="2" t="str">
        <x:v>2026Q2</x:v>
      </x:c>
      <x:c r="B114" s="2" t="str">
        <x:v>可选消费</x:v>
      </x:c>
      <x:c r="C114" s="18" t="n">
        <x:v>28.98</x:v>
      </x:c>
      <x:c r="D114" s="18" t="n">
        <x:v>174.5534</x:v>
      </x:c>
      <x:c r="E114" s="21" t="n">
        <x:v>0.165748</x:v>
      </x:c>
      <x:c r="F114" s="15" t="n">
        <x:f>D114*E114</x:f>
        <x:v>28.931876943200002</x:v>
      </x:c>
      <x:c r="G114" s="19" t="n">
        <x:f>ABS(F114/C114-1)</x:f>
        <x:v>0.0016605609661834997</x:v>
      </x:c>
      <x:c r="H114" s="2"/>
      <x:c r="I114" s="2"/>
      <x:c r="J114" s="2"/>
    </x:row>
    <x:row r="115" ht="24" customHeight="1">
      <x:c r="A115" s="2" t="str">
        <x:v>2026Q2</x:v>
      </x:c>
      <x:c r="B115" s="2" t="str">
        <x:v>必需消费</x:v>
      </x:c>
      <x:c r="C115" s="18" t="n">
        <x:v>10.99</x:v>
      </x:c>
      <x:c r="D115" s="18" t="n">
        <x:v>145.3678</x:v>
      </x:c>
      <x:c r="E115" s="21" t="n">
        <x:v>0.075405</x:v>
      </x:c>
      <x:c r="F115" s="15" t="n">
        <x:f>D115*E115</x:f>
        <x:v>10.961458959</x:v>
      </x:c>
      <x:c r="G115" s="19" t="n">
        <x:f>ABS(F115/C115-1)</x:f>
        <x:v>0.002597001000909982</x:v>
      </x:c>
      <x:c r="H115" s="2"/>
      <x:c r="I115" s="2"/>
      <x:c r="J115" s="2"/>
    </x:row>
    <x:row r="116" ht="24" customHeight="1">
      <x:c r="A116" s="2" t="str">
        <x:v>2026Q2</x:v>
      </x:c>
      <x:c r="B116" s="2" t="str">
        <x:v>能源</x:v>
      </x:c>
      <x:c r="C116" s="18" t="n">
        <x:v>23.88</x:v>
      </x:c>
      <x:c r="D116" s="18" t="n">
        <x:v>183.4495</x:v>
      </x:c>
      <x:c r="E116" s="21" t="n">
        <x:v>0.129823</x:v>
      </x:c>
      <x:c r="F116" s="15" t="n">
        <x:f>D116*E116</x:f>
        <x:v>23.8159644385</x:v>
      </x:c>
      <x:c r="G116" s="19" t="n">
        <x:f>ABS(F116/C116-1)</x:f>
        <x:v>0.002681556176716837</x:v>
      </x:c>
      <x:c r="H116" s="2"/>
      <x:c r="I116" s="2"/>
      <x:c r="J116" s="2"/>
    </x:row>
    <x:row r="117" ht="24" customHeight="1">
      <x:c r="A117" s="2" t="str">
        <x:v>2026Q2</x:v>
      </x:c>
      <x:c r="B117" s="2" t="str">
        <x:v>金融</x:v>
      </x:c>
      <x:c r="C117" s="18" t="n">
        <x:v>15.76</x:v>
      </x:c>
      <x:c r="D117" s="18" t="n">
        <x:v>70.2277</x:v>
      </x:c>
      <x:c r="E117" s="21" t="n">
        <x:v>0.224359</x:v>
      </x:c>
      <x:c r="F117" s="15" t="n">
        <x:f>D117*E117</x:f>
        <x:v>15.756216544299999</x:v>
      </x:c>
      <x:c r="G117" s="19" t="n">
        <x:f>ABS(F117/C117-1)</x:f>
        <x:v>0.00024006698604062127</x:v>
      </x:c>
      <x:c r="H117" s="2"/>
      <x:c r="I117" s="2"/>
      <x:c r="J117" s="2"/>
    </x:row>
    <x:row r="118" ht="24" customHeight="1">
      <x:c r="A118" s="2" t="str">
        <x:v>2026Q2</x:v>
      </x:c>
      <x:c r="B118" s="2" t="str">
        <x:v>医疗保健</x:v>
      </x:c>
      <x:c r="C118" s="18" t="n">
        <x:v>21.4</x:v>
      </x:c>
      <x:c r="D118" s="18" t="n">
        <x:v>308.3715</x:v>
      </x:c>
      <x:c r="E118" s="21" t="n">
        <x:v>0.069412</x:v>
      </x:c>
      <x:c r="F118" s="15" t="n">
        <x:f>D118*E118</x:f>
        <x:v>21.404682558</x:v>
      </x:c>
      <x:c r="G118" s="19" t="n">
        <x:f>ABS(F118/C118-1)</x:f>
        <x:v>0.00021881112149535475</x:v>
      </x:c>
      <x:c r="H118" s="2"/>
      <x:c r="I118" s="2"/>
      <x:c r="J118" s="2"/>
    </x:row>
    <x:row r="119" ht="24" customHeight="1">
      <x:c r="A119" s="2" t="str">
        <x:v>2026Q2</x:v>
      </x:c>
      <x:c r="B119" s="2" t="str">
        <x:v>工业</x:v>
      </x:c>
      <x:c r="C119" s="18" t="n">
        <x:v>13.96</x:v>
      </x:c>
      <x:c r="D119" s="18" t="n">
        <x:v>120.9189</x:v>
      </x:c>
      <x:c r="E119" s="21" t="n">
        <x:v>0.11537499999999999</x:v>
      </x:c>
      <x:c r="F119" s="15" t="n">
        <x:f>D119*E119</x:f>
        <x:v>13.951018087499998</x:v>
      </x:c>
      <x:c r="G119" s="19" t="n">
        <x:f>ABS(F119/C119-1)</x:f>
        <x:v>0.0006434034742122119</x:v>
      </x:c>
      <x:c r="H119" s="2"/>
      <x:c r="I119" s="2"/>
      <x:c r="J119" s="2"/>
    </x:row>
    <x:row r="120" ht="24" customHeight="1">
      <x:c r="A120" s="2" t="str">
        <x:v>2026Q2</x:v>
      </x:c>
      <x:c r="B120" s="2" t="str">
        <x:v>信息技术</x:v>
      </x:c>
      <x:c r="C120" s="18" t="n">
        <x:v>65.7</x:v>
      </x:c>
      <x:c r="D120" s="18" t="n">
        <x:v>196.4287</x:v>
      </x:c>
      <x:c r="E120" s="21" t="n">
        <x:v>0.335531</x:v>
      </x:c>
      <x:c r="F120" s="15" t="n">
        <x:f>D120*E120</x:f>
        <x:v>65.9079181397</x:v>
      </x:c>
      <x:c r="G120" s="19" t="n">
        <x:f>ABS(F120/C120-1)</x:f>
        <x:v>0.0031646596605783284</x:v>
      </x:c>
      <x:c r="H120" s="2"/>
      <x:c r="I120" s="2"/>
      <x:c r="J120" s="2"/>
    </x:row>
    <x:row r="121" ht="24" customHeight="1">
      <x:c r="A121" s="2" t="str">
        <x:v>2026Q2</x:v>
      </x:c>
      <x:c r="B121" s="2" t="str">
        <x:v>材料</x:v>
      </x:c>
      <x:c r="C121" s="18" t="n">
        <x:v>9.54</x:v>
      </x:c>
      <x:c r="D121" s="18" t="n">
        <x:v>69.489</x:v>
      </x:c>
      <x:c r="E121" s="21" t="n">
        <x:v>0.137668</x:v>
      </x:c>
      <x:c r="F121" s="15" t="n">
        <x:f>D121*E121</x:f>
        <x:v>9.566411652000001</x:v>
      </x:c>
      <x:c r="G121" s="19" t="n">
        <x:f>ABS(F121/C121-1)</x:f>
        <x:v>0.0027685169811322297</x:v>
      </x:c>
      <x:c r="H121" s="2"/>
      <x:c r="I121" s="2"/>
      <x:c r="J121" s="2"/>
    </x:row>
    <x:row r="122" ht="24" customHeight="1">
      <x:c r="A122" s="2" t="str">
        <x:v>2026Q2</x:v>
      </x:c>
      <x:c r="B122" s="2" t="str">
        <x:v>房地产</x:v>
      </x:c>
      <x:c r="C122" s="18" t="n">
        <x:v>3.52</x:v>
      </x:c>
      <x:c r="D122" s="18" t="n">
        <x:v>11.1095</x:v>
      </x:c>
      <x:c r="E122" s="21" t="n">
        <x:v>0.31663399999999997</x:v>
      </x:c>
      <x:c r="F122" s="15" t="n">
        <x:f>D122*E122</x:f>
        <x:v>3.517645423</x:v>
      </x:c>
      <x:c r="G122" s="19" t="n">
        <x:f>ABS(F122/C122-1)</x:f>
        <x:v>0.0006689139204546501</x:v>
      </x:c>
      <x:c r="H122" s="2"/>
      <x:c r="I122" s="2"/>
      <x:c r="J122" s="2"/>
    </x:row>
    <x:row r="123" ht="24" customHeight="1">
      <x:c r="A123" s="2" t="str">
        <x:v>2026Q2</x:v>
      </x:c>
      <x:c r="B123" s="2" t="str">
        <x:v>公用事业</x:v>
      </x:c>
      <x:c r="C123" s="18" t="n">
        <x:v>5.05</x:v>
      </x:c>
      <x:c r="D123" s="18" t="n">
        <x:v>36.8426</x:v>
      </x:c>
      <x:c r="E123" s="21" t="n">
        <x:v>0.13639099999999998</x:v>
      </x:c>
      <x:c r="F123" s="15" t="n">
        <x:f>D123*E123</x:f>
        <x:v>5.024999056599999</x:v>
      </x:c>
      <x:c r="G123" s="19" t="n">
        <x:f>ABS(F123/C123-1)</x:f>
        <x:v>0.0049506818613863635</x:v>
      </x:c>
      <x:c r="H123" s="2"/>
      <x:c r="I123" s="2"/>
      <x:c r="J123" s="2"/>
    </x:row>
    <x:row r="124" ht="24" customHeight="1">
      <x:c r="A124" s="2"/>
      <x:c r="B124" s="2"/>
      <x:c r="C124" s="2"/>
      <x:c r="D124" s="2"/>
      <x:c r="E124" s="2"/>
      <x:c r="F124" s="2"/>
      <x:c r="G124" s="2"/>
      <x:c r="H124" s="2"/>
      <x:c r="I124" s="2"/>
      <x:c r="J124" s="2"/>
    </x:row>
    <x:row r="125" ht="24" customHeight="1">
      <x:c r="A125" s="2"/>
      <x:c r="B125" s="2"/>
      <x:c r="C125" s="2"/>
      <x:c r="D125" s="2"/>
      <x:c r="E125" s="2"/>
      <x:c r="F125" s="2"/>
      <x:c r="G125" s="2"/>
      <x:c r="H125" s="2"/>
      <x:c r="I125" s="2"/>
      <x:c r="J125" s="2"/>
    </x:row>
    <x:row r="126" ht="24" customHeight="1">
      <x:c r="A126" s="2"/>
      <x:c r="B126" s="2"/>
      <x:c r="C126" s="2"/>
      <x:c r="D126" s="2"/>
      <x:c r="E126" s="2"/>
      <x:c r="F126" s="2"/>
      <x:c r="G126" s="2"/>
      <x:c r="H126" s="2"/>
      <x:c r="I126" s="2"/>
      <x:c r="J126" s="2"/>
    </x:row>
    <x:row r="127" ht="30" customHeight="1">
      <x:c r="A127" s="7" t="str">
        <x:v>季度</x:v>
      </x:c>
      <x:c r="B127" s="7" t="str">
        <x:v>板块</x:v>
      </x:c>
      <x:c r="C127" s="7" t="str">
        <x:v>独立曲线读取</x:v>
      </x:c>
      <x:c r="D127" s="7" t="str">
        <x:v>图中印刷值</x:v>
      </x:c>
      <x:c r="E127" s="7" t="str">
        <x:v>绝对差异</x:v>
      </x:c>
      <x:c r="F127" s="2"/>
      <x:c r="G127" s="2"/>
      <x:c r="H127" s="2"/>
      <x:c r="I127" s="2"/>
      <x:c r="J127" s="2"/>
    </x:row>
    <x:row r="128" ht="24" customHeight="1">
      <x:c r="A128" s="2" t="str">
        <x:v>2026Q2</x:v>
      </x:c>
      <x:c r="B128" s="2" t="str">
        <x:v>医疗保健</x:v>
      </x:c>
      <x:c r="C128" s="18" t="n">
        <x:v>21.4098</x:v>
      </x:c>
      <x:c r="D128" s="18" t="n">
        <x:v>21.4</x:v>
      </x:c>
      <x:c r="E128" s="19" t="n">
        <x:f>ABS(C128/D128-1)</x:f>
        <x:v>0.00045794392523368366</x:v>
      </x:c>
      <x:c r="F128" s="2"/>
      <x:c r="G128" s="2"/>
      <x:c r="H128" s="2"/>
      <x:c r="I128" s="2"/>
      <x:c r="J128" s="2"/>
    </x:row>
    <x:row r="129" ht="24" customHeight="1">
      <x:c r="A129" s="2" t="str">
        <x:v>2026Q2</x:v>
      </x:c>
      <x:c r="B129" s="2" t="str">
        <x:v>通信服务</x:v>
      </x:c>
      <x:c r="C129" s="18" t="n">
        <x:v>10.2798</x:v>
      </x:c>
      <x:c r="D129" s="18" t="n">
        <x:v>10.22</x:v>
      </x:c>
      <x:c r="E129" s="19" t="n">
        <x:f>ABS(C129/D129-1)</x:f>
        <x:v>0.005851272015655606</x:v>
      </x:c>
      <x:c r="F129" s="2"/>
      <x:c r="G129" s="2"/>
      <x:c r="H129" s="2"/>
      <x:c r="I129" s="2"/>
      <x:c r="J129" s="2"/>
    </x:row>
    <x:row r="130" ht="24" customHeight="1">
      <x:c r="A130" s="2" t="str">
        <x:v>2026Q2</x:v>
      </x:c>
      <x:c r="B130" s="2" t="str">
        <x:v>工业</x:v>
      </x:c>
      <x:c r="C130" s="18" t="n">
        <x:v>14.0177</x:v>
      </x:c>
      <x:c r="D130" s="18" t="n">
        <x:v>13.96</x:v>
      </x:c>
      <x:c r="E130" s="19" t="n">
        <x:f>ABS(C130/D130-1)</x:f>
        <x:v>0.004133237822349534</x:v>
      </x:c>
      <x:c r="F130" s="2"/>
      <x:c r="G130" s="2"/>
      <x:c r="H130" s="2"/>
      <x:c r="I130" s="2"/>
      <x:c r="J130" s="2"/>
    </x:row>
    <x:row r="131" ht="24" customHeight="1">
      <x:c r="A131" s="2" t="str">
        <x:v>2026Q2</x:v>
      </x:c>
      <x:c r="B131" s="2" t="str">
        <x:v>可选消费</x:v>
      </x:c>
      <x:c r="C131" s="18" t="n">
        <x:v>29.3097</x:v>
      </x:c>
      <x:c r="D131" s="18" t="n">
        <x:v>28.98</x:v>
      </x:c>
      <x:c r="E131" s="19" t="n">
        <x:f>ABS(C131/D131-1)</x:f>
        <x:v>0.011376811594202785</x:v>
      </x:c>
      <x:c r="F131" s="2"/>
      <x:c r="G131" s="2"/>
      <x:c r="H131" s="2"/>
      <x:c r="I131" s="2"/>
      <x:c r="J131" s="2"/>
    </x:row>
    <x:row r="132" ht="24" customHeight="1">
      <x:c r="A132" s="2" t="str">
        <x:v>2026Q2</x:v>
      </x:c>
      <x:c r="B132" s="2" t="str">
        <x:v>信息技术</x:v>
      </x:c>
      <x:c r="C132" s="18" t="n">
        <x:v>65.9218</x:v>
      </x:c>
      <x:c r="D132" s="18" t="n">
        <x:v>65.7</x:v>
      </x:c>
      <x:c r="E132" s="19" t="n">
        <x:f>ABS(C132/D132-1)</x:f>
        <x:v>0.0033759512937594494</x:v>
      </x:c>
      <x:c r="F132" s="2"/>
      <x:c r="G132" s="2"/>
      <x:c r="H132" s="2"/>
      <x:c r="I132" s="2"/>
      <x:c r="J132" s="2"/>
    </x:row>
    <x:row r="133" ht="24" customHeight="1">
      <x:c r="A133" s="2" t="str">
        <x:v>2026Q2</x:v>
      </x:c>
      <x:c r="B133" s="2" t="str">
        <x:v>必需消费</x:v>
      </x:c>
      <x:c r="C133" s="18" t="n">
        <x:v>11.0086</x:v>
      </x:c>
      <x:c r="D133" s="18" t="n">
        <x:v>10.99</x:v>
      </x:c>
      <x:c r="E133" s="19" t="n">
        <x:f>ABS(C133/D133-1)</x:f>
        <x:v>0.001692447679708664</x:v>
      </x:c>
      <x:c r="F133" s="2"/>
      <x:c r="G133" s="2"/>
      <x:c r="H133" s="2"/>
      <x:c r="I133" s="2"/>
      <x:c r="J133" s="2"/>
    </x:row>
    <x:row r="134" ht="24" customHeight="1">
      <x:c r="A134" s="2" t="str">
        <x:v>2026Q2</x:v>
      </x:c>
      <x:c r="B134" s="2" t="str">
        <x:v>材料</x:v>
      </x:c>
      <x:c r="C134" s="18" t="n">
        <x:v>9.583</x:v>
      </x:c>
      <x:c r="D134" s="18" t="n">
        <x:v>9.54</x:v>
      </x:c>
      <x:c r="E134" s="19" t="n">
        <x:f>ABS(C134/D134-1)</x:f>
        <x:v>0.004507337526205468</x:v>
      </x:c>
      <x:c r="F134" s="2"/>
      <x:c r="G134" s="2"/>
      <x:c r="H134" s="2"/>
      <x:c r="I134" s="2"/>
      <x:c r="J134" s="2"/>
    </x:row>
    <x:row r="135" ht="24" customHeight="1">
      <x:c r="A135" s="2" t="str">
        <x:v>2026Q2</x:v>
      </x:c>
      <x:c r="B135" s="2" t="str">
        <x:v>能源</x:v>
      </x:c>
      <x:c r="C135" s="18" t="n">
        <x:v>24.1808</x:v>
      </x:c>
      <x:c r="D135" s="18" t="n">
        <x:v>23.88</x:v>
      </x:c>
      <x:c r="E135" s="19" t="n">
        <x:f>ABS(C135/D135-1)</x:f>
        <x:v>0.012596314907872719</x:v>
      </x:c>
      <x:c r="F135" s="2"/>
      <x:c r="G135" s="2"/>
      <x:c r="H135" s="2"/>
      <x:c r="I135" s="2"/>
      <x:c r="J135" s="2"/>
    </x:row>
    <x:row r="136" ht="24" customHeight="1">
      <x:c r="A136" s="2" t="str">
        <x:v>2026Q2</x:v>
      </x:c>
      <x:c r="B136" s="2" t="str">
        <x:v>房地产</x:v>
      </x:c>
      <x:c r="C136" s="18" t="n">
        <x:v>3.5216</x:v>
      </x:c>
      <x:c r="D136" s="18" t="n">
        <x:v>3.52</x:v>
      </x:c>
      <x:c r="E136" s="19" t="n">
        <x:f>ABS(C136/D136-1)</x:f>
        <x:v>0.00045454545454548523</x:v>
      </x:c>
      <x:c r="F136" s="2"/>
      <x:c r="G136" s="2"/>
      <x:c r="H136" s="2"/>
      <x:c r="I136" s="2"/>
      <x:c r="J136" s="2"/>
    </x:row>
    <x:row r="137" ht="24" customHeight="1">
      <x:c r="A137" s="2" t="str">
        <x:v>2026Q2</x:v>
      </x:c>
      <x:c r="B137" s="2" t="str">
        <x:v>金融</x:v>
      </x:c>
      <x:c r="C137" s="18" t="n">
        <x:v>15.8046</x:v>
      </x:c>
      <x:c r="D137" s="18" t="n">
        <x:v>15.76</x:v>
      </x:c>
      <x:c r="E137" s="19" t="n">
        <x:f>ABS(C137/D137-1)</x:f>
        <x:v>0.0028299492385788216</x:v>
      </x:c>
      <x:c r="F137" s="2"/>
      <x:c r="G137" s="2"/>
      <x:c r="H137" s="2"/>
      <x:c r="I137" s="2"/>
      <x:c r="J137" s="2"/>
    </x:row>
    <x:row r="138" ht="24" customHeight="1">
      <x:c r="A138" s="2" t="str">
        <x:v>2026Q2</x:v>
      </x:c>
      <x:c r="B138" s="2" t="str">
        <x:v>公用事业</x:v>
      </x:c>
      <x:c r="C138" s="18" t="n">
        <x:v>5.0318</x:v>
      </x:c>
      <x:c r="D138" s="18" t="n">
        <x:v>5.05</x:v>
      </x:c>
      <x:c r="E138" s="19" t="n">
        <x:f>ABS(C138/D138-1)</x:f>
        <x:v>0.003603960396039607</x:v>
      </x:c>
      <x:c r="F138" s="2"/>
      <x:c r="G138" s="2"/>
      <x:c r="H138" s="2"/>
      <x:c r="I138" s="2"/>
      <x:c r="J138" s="2"/>
    </x:row>
    <x:row r="139" ht="24" customHeight="1">
      <x:c r="A139" s="2"/>
      <x:c r="B139" s="2"/>
      <x:c r="C139" s="2"/>
      <x:c r="D139" s="2"/>
      <x:c r="E139" s="2"/>
      <x:c r="F139" s="2"/>
      <x:c r="G139" s="2"/>
      <x:c r="H139" s="2"/>
      <x:c r="I139" s="2"/>
      <x:c r="J139" s="2"/>
    </x:row>
    <x:row r="140" ht="24" customHeight="1">
      <x:c r="A140" s="2"/>
      <x:c r="B140" s="2"/>
      <x:c r="C140" s="2"/>
      <x:c r="D140" s="2"/>
      <x:c r="E140" s="2"/>
      <x:c r="F140" s="2"/>
      <x:c r="G140" s="2"/>
      <x:c r="H140" s="2"/>
      <x:c r="I140" s="2"/>
      <x:c r="J140" s="2"/>
    </x:row>
    <x:row r="141" ht="24" customHeight="1">
      <x:c r="A141" s="2" t="str">
        <x:v>770 个季度位置：700 项有值，70 项为空。未使用 S&amp;P 换算或 GAAP 替代。未填入 2026Q3。</x:v>
      </x:c>
      <x:c r="B141" s="2"/>
      <x:c r="C141" s="2"/>
      <x:c r="D141" s="2"/>
      <x:c r="E141" s="2"/>
      <x:c r="F141" s="2"/>
      <x:c r="G141" s="2"/>
      <x:c r="H141" s="2"/>
      <x:c r="I141" s="2"/>
      <x:c r="J141" s="2"/>
    </x:row>
    <x:row r="142" ht="24" customHeight="1">
      <x:c r="A142" s="2" t="str">
        <x:v>主表 2026Q2 使用印刷值；此页保留独立曲线值进行比较。</x:v>
      </x:c>
      <x:c r="B142" s="2"/>
      <x:c r="C142" s="2"/>
      <x:c r="D142" s="2"/>
      <x:c r="E142" s="2"/>
      <x:c r="F142" s="2"/>
      <x:c r="G142" s="2"/>
      <x:c r="H142" s="2"/>
      <x:c r="I142" s="2"/>
      <x:c r="J142" s="2"/>
    </x:row>
    <x:row r="143" ht="24" customHeight="1">
      <x:c r="A143" s="2" t="str">
        <x:v>格式：Excel 启用宏的工作簿（.xlsm）。没有添加 VBA 宏。此文件不自动更新网站或数据库。</x:v>
      </x:c>
      <x:c r="B143" s="2"/>
      <x:c r="C143" s="2"/>
      <x:c r="D143" s="2"/>
      <x:c r="E143" s="2"/>
      <x:c r="F143" s="2"/>
      <x:c r="G143" s="2"/>
      <x:c r="H143" s="2"/>
      <x:c r="I143" s="2"/>
      <x:c r="J143" s="2"/>
    </x:row>
    <x:row r="144" ht="24" customHeight="1">
      <x:c r="A144" s="2"/>
      <x:c r="B144" s="2"/>
      <x:c r="C144" s="2"/>
      <x:c r="D144" s="2"/>
      <x:c r="E144" s="2"/>
      <x:c r="F144" s="2"/>
      <x:c r="G144" s="2"/>
      <x:c r="H144" s="2"/>
      <x:c r="I144" s="2"/>
      <x:c r="J144" s="2"/>
    </x:row>
    <x:row r="145" ht="24" customHeight="1">
      <x:c r="A145" s="2"/>
      <x:c r="B145" s="2"/>
      <x:c r="C145" s="2"/>
      <x:c r="D145" s="2"/>
      <x:c r="E145" s="2"/>
      <x:c r="F145" s="2"/>
      <x:c r="G145" s="2"/>
      <x:c r="H145" s="2"/>
      <x:c r="I145" s="2"/>
      <x:c r="J145" s="2"/>
    </x:row>
  </x:sheetData>
  <x:pageMargins left="0.7" right="0.7" top="0.75" bottom="0.75" header="0.3" footer="0.3"/>
</x:worksheet>
</file>